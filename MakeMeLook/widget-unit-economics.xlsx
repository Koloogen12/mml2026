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Себестоимость" sheetId="2" state="visible" r:id="rId2"/>
    <sheet xmlns:r="http://schemas.openxmlformats.org/officeDocument/2006/relationships" name="P&amp;L по пакетам" sheetId="3" state="visible" r:id="rId3"/>
    <sheet xmlns:r="http://schemas.openxmlformats.org/officeDocument/2006/relationships" name="Чувствительность" sheetId="4" state="visible" r:id="rId4"/>
    <sheet xmlns:r="http://schemas.openxmlformats.org/officeDocument/2006/relationships" name="Сравнение тарифов" sheetId="5" state="visible" r:id="rId5"/>
    <sheet xmlns:r="http://schemas.openxmlformats.org/officeDocument/2006/relationships" name="Рис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 ₽"/>
    <numFmt numFmtId="165" formatCode="#,##0 ₽;(#,##0 ₽);-"/>
    <numFmt numFmtId="166" formatCode="$#,##0"/>
    <numFmt numFmtId="167" formatCode="0.0%"/>
    <numFmt numFmtId="168" formatCode="$#,##0.0000"/>
    <numFmt numFmtId="169" formatCode="0.00&quot;×&quot;"/>
  </numFmts>
  <fonts count="12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i val="1"/>
      <color rgb="00C00000"/>
      <sz val="9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1" pivotButton="0" quotePrefix="0" xfId="0"/>
    <xf numFmtId="4" fontId="6" fillId="4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vertical="top" wrapText="1"/>
    </xf>
    <xf numFmtId="164" fontId="6" fillId="4" borderId="0" pivotButton="0" quotePrefix="0" xfId="0"/>
    <xf numFmtId="165" fontId="6" fillId="4" borderId="0" pivotButton="0" quotePrefix="0" xfId="0"/>
    <xf numFmtId="164" fontId="6" fillId="0" borderId="0" pivotButton="0" quotePrefix="0" xfId="0"/>
    <xf numFmtId="166" fontId="6" fillId="0" borderId="0" pivotButton="0" quotePrefix="0" xfId="0"/>
    <xf numFmtId="3" fontId="6" fillId="0" borderId="0" pivotButton="0" quotePrefix="0" xfId="0"/>
    <xf numFmtId="167" fontId="6" fillId="0" borderId="0" pivotButton="0" quotePrefix="0" xfId="0"/>
    <xf numFmtId="4" fontId="6" fillId="0" borderId="0" pivotButton="0" quotePrefix="0" xfId="0"/>
    <xf numFmtId="165" fontId="6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4" fillId="4" borderId="0" pivotButton="0" quotePrefix="0" xfId="0"/>
    <xf numFmtId="167" fontId="0" fillId="0" borderId="0" pivotButton="0" quotePrefix="0" xfId="0"/>
    <xf numFmtId="164" fontId="5" fillId="0" borderId="0" pivotButton="0" quotePrefix="0" xfId="0"/>
    <xf numFmtId="0" fontId="7" fillId="0" borderId="0" pivotButton="0" quotePrefix="0" xfId="0"/>
    <xf numFmtId="0" fontId="4" fillId="0" borderId="1" pivotButton="0" quotePrefix="0" xfId="0"/>
    <xf numFmtId="167" fontId="4" fillId="0" borderId="0" pivotButton="0" quotePrefix="0" xfId="0"/>
    <xf numFmtId="165" fontId="5" fillId="0" borderId="0" pivotButton="0" quotePrefix="0" xfId="0"/>
    <xf numFmtId="165" fontId="4" fillId="4" borderId="0" pivotButton="0" quotePrefix="0" xfId="0"/>
    <xf numFmtId="165" fontId="4" fillId="0" borderId="0" pivotButton="0" quotePrefix="0" xfId="0"/>
    <xf numFmtId="164" fontId="0" fillId="0" borderId="0" pivotButton="0" quotePrefix="0" xfId="0"/>
    <xf numFmtId="3" fontId="6" fillId="0" borderId="1" pivotButton="0" quotePrefix="0" xfId="0"/>
    <xf numFmtId="165" fontId="0" fillId="0" borderId="0" pivotButton="0" quotePrefix="0" xfId="0"/>
    <xf numFmtId="169" fontId="0" fillId="0" borderId="0" pivotButton="0" quotePrefix="0" xfId="0"/>
    <xf numFmtId="3" fontId="4" fillId="4" borderId="0" pivotButton="0" quotePrefix="0" xfId="0"/>
    <xf numFmtId="3" fontId="4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3" customWidth="1" min="3" max="3"/>
    <col width="62" customWidth="1" min="4" max="4"/>
  </cols>
  <sheetData>
    <row r="1" ht="22" customHeight="1">
      <c r="A1" s="1" t="inlineStr">
        <is>
          <t>Допущения и входные данные</t>
        </is>
      </c>
    </row>
    <row r="2">
      <c r="A2" s="2" t="inlineStr">
        <is>
          <t>Синие ячейки — редактируйте. Чёрные — считаются формулами. Жёлтая заливка — ключевые рычаги.</t>
        </is>
      </c>
    </row>
    <row r="4" ht="28" customHeight="1">
      <c r="A4" s="3" t="inlineStr">
        <is>
          <t>Параметр</t>
        </is>
      </c>
      <c r="B4" s="3" t="inlineStr">
        <is>
          <t>Значение</t>
        </is>
      </c>
      <c r="C4" s="3" t="inlineStr">
        <is>
          <t>Ед.</t>
        </is>
      </c>
      <c r="D4" s="3" t="inlineStr">
        <is>
          <t>Источник / обоснование</t>
        </is>
      </c>
    </row>
    <row r="5">
      <c r="A5" s="4" t="inlineStr">
        <is>
          <t>КУРС И ЦЕНЫ</t>
        </is>
      </c>
      <c r="B5" s="5" t="n"/>
      <c r="C5" s="5" t="n"/>
      <c r="D5" s="5" t="n"/>
    </row>
    <row r="6">
      <c r="A6" s="6" t="inlineStr">
        <is>
          <t>Курс доллара</t>
        </is>
      </c>
      <c r="B6" s="7" t="n">
        <v>86</v>
      </c>
      <c r="C6" s="8" t="inlineStr">
        <is>
          <t>₽/$</t>
        </is>
      </c>
      <c r="D6" s="9" t="inlineStr">
        <is>
          <t>Задан пользователем, 09.09.2026</t>
        </is>
      </c>
    </row>
    <row r="7">
      <c r="A7" s="6" t="inlineStr">
        <is>
          <t>Цена одной примерки для клиента</t>
        </is>
      </c>
      <c r="B7" s="10" t="n">
        <v>10</v>
      </c>
      <c r="C7" s="8" t="inlineStr">
        <is>
          <t>₽</t>
        </is>
      </c>
      <c r="D7" s="9" t="inlineStr">
        <is>
          <t>Сценарий пользователя</t>
        </is>
      </c>
    </row>
    <row r="8">
      <c r="A8" s="6" t="inlineStr">
        <is>
          <t>Setup fee (разовый)</t>
        </is>
      </c>
      <c r="B8" s="11" t="n">
        <v>30000</v>
      </c>
      <c r="C8" s="8" t="inlineStr">
        <is>
          <t>₽</t>
        </is>
      </c>
      <c r="D8" s="9" t="inlineStr">
        <is>
          <t>Сценарий пользователя</t>
        </is>
      </c>
    </row>
    <row r="9">
      <c r="A9" s="6" t="inlineStr">
        <is>
          <t>Текущий тариф (для сравнения)</t>
        </is>
      </c>
      <c r="B9" s="12" t="n">
        <v>8</v>
      </c>
      <c r="C9" s="8" t="inlineStr">
        <is>
          <t>₽</t>
        </is>
      </c>
      <c r="D9" s="9" t="inlineStr">
        <is>
          <t>Действующая тарификация, пакеты 5k/10k/15k</t>
        </is>
      </c>
    </row>
    <row r="10">
      <c r="A10" s="4" t="inlineStr">
        <is>
          <t>ТАРИФ AI-ГЕНЕРАЦИИ (CometAPI, GPT Image 2.5)</t>
        </is>
      </c>
      <c r="B10" s="5" t="n"/>
      <c r="C10" s="5" t="n"/>
      <c r="D10" s="5" t="n"/>
    </row>
    <row r="11">
      <c r="A11" s="6" t="inlineStr">
        <is>
          <t>Input-токены</t>
        </is>
      </c>
      <c r="B11" s="13" t="n">
        <v>4</v>
      </c>
      <c r="C11" s="8" t="inlineStr">
        <is>
          <t>$/1M</t>
        </is>
      </c>
      <c r="D11" s="9" t="inlineStr">
        <is>
          <t>Прайс CometAPI на gpt-image-2.5 (−20% от $5 OpenAI)</t>
        </is>
      </c>
    </row>
    <row r="12">
      <c r="A12" s="6" t="inlineStr">
        <is>
          <t>Output-токены</t>
        </is>
      </c>
      <c r="B12" s="13" t="n">
        <v>24</v>
      </c>
      <c r="C12" s="8" t="inlineStr">
        <is>
          <t>$/1M</t>
        </is>
      </c>
      <c r="D12" s="9" t="inlineStr">
        <is>
          <t>Прайс CometAPI (−20% от $30 OpenAI)</t>
        </is>
      </c>
    </row>
    <row r="13">
      <c r="A13" s="6" t="inlineStr">
        <is>
          <t>Input-токенов на 1 вещь (база)</t>
        </is>
      </c>
      <c r="B13" s="14" t="n">
        <v>3928</v>
      </c>
      <c r="C13" s="8" t="inlineStr">
        <is>
          <t>ток.</t>
        </is>
      </c>
      <c r="D13" s="9" t="inlineStr">
        <is>
          <t>ЗАМЕР на реальном запросе 09.09.2026</t>
        </is>
      </c>
    </row>
    <row r="14">
      <c r="A14" s="6" t="inlineStr">
        <is>
          <t>Input-токенов за каждую след. вещь</t>
        </is>
      </c>
      <c r="B14" s="14" t="n">
        <v>1869</v>
      </c>
      <c r="C14" s="8" t="inlineStr">
        <is>
          <t>ток.</t>
        </is>
      </c>
      <c r="D14" s="9" t="inlineStr">
        <is>
          <t>ЗАМЕР: (9535−3928)/3, 4-слойный образ</t>
        </is>
      </c>
    </row>
    <row r="15">
      <c r="A15" s="6" t="inlineStr">
        <is>
          <t>Output: токенов на картинку</t>
        </is>
      </c>
      <c r="B15" s="14" t="n">
        <v>1120</v>
      </c>
      <c r="C15" s="8" t="inlineStr">
        <is>
          <t>ток.</t>
        </is>
      </c>
      <c r="D15" s="9" t="inlineStr">
        <is>
          <t>ДОПУЩЕНИЕ: типовой расход на изображение 1024px</t>
        </is>
      </c>
    </row>
    <row r="16">
      <c r="A16" s="6" t="inlineStr">
        <is>
          <t>Output: текстовых токенов</t>
        </is>
      </c>
      <c r="B16" s="14" t="n">
        <v>196</v>
      </c>
      <c r="C16" s="8" t="inlineStr">
        <is>
          <t>ток.</t>
        </is>
      </c>
      <c r="D16" s="9" t="inlineStr">
        <is>
          <t>ЗАМЕР на реальном запросе</t>
        </is>
      </c>
    </row>
    <row r="17">
      <c r="A17" s="4" t="inlineStr">
        <is>
          <t>КОРЗИНА СЛОЁВ (факт из БД, 2145 примерок)</t>
        </is>
      </c>
      <c r="B17" s="5" t="n"/>
      <c r="C17" s="5" t="n"/>
      <c r="D17" s="5" t="n"/>
    </row>
    <row r="18">
      <c r="A18" s="6" t="inlineStr">
        <is>
          <t>Доля образов с 1 вещью</t>
        </is>
      </c>
      <c r="B18" s="15" t="n">
        <v>0.796</v>
      </c>
      <c r="C18" s="8" t="inlineStr">
        <is>
          <t>%</t>
        </is>
      </c>
      <c r="D18" s="9" t="inlineStr">
        <is>
          <t>ФАКТ: 1648+61 нулевых из 2145</t>
        </is>
      </c>
    </row>
    <row r="19">
      <c r="A19" s="6" t="inlineStr">
        <is>
          <t>Доля образов с 2 вещами</t>
        </is>
      </c>
      <c r="B19" s="15" t="n">
        <v>0.154</v>
      </c>
      <c r="C19" s="8" t="inlineStr">
        <is>
          <t>%</t>
        </is>
      </c>
      <c r="D19" s="9" t="inlineStr">
        <is>
          <t>ФАКТ: 330 из 2145</t>
        </is>
      </c>
    </row>
    <row r="20">
      <c r="A20" s="6" t="inlineStr">
        <is>
          <t>Доля образов с 3 вещами</t>
        </is>
      </c>
      <c r="B20" s="15" t="n">
        <v>0.042</v>
      </c>
      <c r="C20" s="8" t="inlineStr">
        <is>
          <t>%</t>
        </is>
      </c>
      <c r="D20" s="9" t="inlineStr">
        <is>
          <t>ФАКТ: 90 из 2145</t>
        </is>
      </c>
    </row>
    <row r="21">
      <c r="A21" s="6" t="inlineStr">
        <is>
          <t>Доля образов с 4 вещами</t>
        </is>
      </c>
      <c r="B21" s="15" t="n">
        <v>0.007</v>
      </c>
      <c r="C21" s="8" t="inlineStr">
        <is>
          <t>%</t>
        </is>
      </c>
      <c r="D21" s="9" t="inlineStr">
        <is>
          <t>ФАКТ: 16 из 2145</t>
        </is>
      </c>
    </row>
    <row r="22">
      <c r="A22" s="4" t="inlineStr">
        <is>
          <t>ОТКАЗЫ, ВАЛИДАЦИЯ, ХРАНЕНИЕ</t>
        </is>
      </c>
      <c r="B22" s="5" t="n"/>
      <c r="C22" s="5" t="n"/>
      <c r="D22" s="5" t="n"/>
    </row>
    <row r="23">
      <c r="A23" s="6" t="inlineStr">
        <is>
          <t>Доля лишних оплаченных попыток</t>
        </is>
      </c>
      <c r="B23" s="15" t="n">
        <v>0.195</v>
      </c>
      <c r="C23" s="8" t="inlineStr">
        <is>
          <t>%</t>
        </is>
      </c>
      <c r="D23" s="9" t="inlineStr">
        <is>
          <t>ФАКТ: (242 ошибки + 130 ретраев) / 1903 доставленных</t>
        </is>
      </c>
    </row>
    <row r="24">
      <c r="A24" s="6" t="inlineStr">
        <is>
          <t>Доля стоимости неуспешной попытки</t>
        </is>
      </c>
      <c r="B24" s="15" t="n">
        <v>0.36</v>
      </c>
      <c r="C24" s="8" t="inlineStr">
        <is>
          <t>%</t>
        </is>
      </c>
      <c r="D24" s="9" t="inlineStr">
        <is>
          <t>ДОПУЩЕНИЕ: биллится только input (₽1,52 из ₽4,23)</t>
        </is>
      </c>
    </row>
    <row r="25">
      <c r="A25" s="6" t="inlineStr">
        <is>
          <t>Стоимость 1 вызова валидации фото</t>
        </is>
      </c>
      <c r="B25" s="12" t="n">
        <v>0.0134</v>
      </c>
      <c r="C25" s="8" t="inlineStr">
        <is>
          <t>₽</t>
        </is>
      </c>
      <c r="D25" s="9" t="inlineStr">
        <is>
          <t>Расчёт: 1700 in + 60 out по $0,08/$0,32 за 1M</t>
        </is>
      </c>
    </row>
    <row r="26">
      <c r="A26" s="6" t="inlineStr">
        <is>
          <t>Примерок на одно загруженное фото</t>
        </is>
      </c>
      <c r="B26" s="16" t="n">
        <v>3.08</v>
      </c>
      <c r="C26" s="8" t="inlineStr">
        <is>
          <t>шт</t>
        </is>
      </c>
      <c r="D26" s="9" t="inlineStr">
        <is>
          <t>ФАКТ: 2145 примерок / 697 фото</t>
        </is>
      </c>
    </row>
    <row r="27">
      <c r="A27" s="6" t="inlineStr">
        <is>
          <t>Надбавка на отклонённые фото</t>
        </is>
      </c>
      <c r="B27" s="15" t="n">
        <v>0.25</v>
      </c>
      <c r="C27" s="8" t="inlineStr">
        <is>
          <t>%</t>
        </is>
      </c>
      <c r="D27" s="9" t="inlineStr">
        <is>
          <t>ДОПУЩЕНИЕ: +25% вызовов гейткипера впустую</t>
        </is>
      </c>
    </row>
    <row r="28">
      <c r="A28" s="6" t="inlineStr">
        <is>
          <t>Хранение на 1 примерку</t>
        </is>
      </c>
      <c r="B28" s="16" t="n">
        <v>0.76</v>
      </c>
      <c r="C28" s="8" t="inlineStr">
        <is>
          <t>МБ</t>
        </is>
      </c>
      <c r="D28" s="9" t="inlineStr">
        <is>
          <t>ЗАМЕР MinIO: результат 384КБ + фото 1,2МБ/3,08</t>
        </is>
      </c>
    </row>
    <row r="29">
      <c r="A29" s="6" t="inlineStr">
        <is>
          <t>Цена хранения</t>
        </is>
      </c>
      <c r="B29" s="16" t="n">
        <v>4.09</v>
      </c>
      <c r="C29" s="8" t="inlineStr">
        <is>
          <t>₽/ГБ/мес</t>
        </is>
      </c>
      <c r="D29" s="9" t="inlineStr">
        <is>
          <t>Hetzner Volume €0,044/ГБ ≈ ₽4,09</t>
        </is>
      </c>
    </row>
    <row r="30">
      <c r="A30" s="6" t="inlineStr">
        <is>
          <t>Срок хранения (retention)</t>
        </is>
      </c>
      <c r="B30" s="16" t="n">
        <v>3</v>
      </c>
      <c r="C30" s="8" t="inlineStr">
        <is>
          <t>мес</t>
        </is>
      </c>
      <c r="D30" s="9" t="inlineStr">
        <is>
          <t>ДОПУЩЕНИЕ: 90 дней. ВНИМАНИЕ: сейчас retention НЕ реализован</t>
        </is>
      </c>
    </row>
    <row r="31">
      <c r="A31" s="6" t="inlineStr">
        <is>
          <t>Запас на бэкапы/репликацию</t>
        </is>
      </c>
      <c r="B31" s="16" t="n">
        <v>3</v>
      </c>
      <c r="C31" s="8" t="inlineStr">
        <is>
          <t>x</t>
        </is>
      </c>
      <c r="D31" s="9" t="inlineStr">
        <is>
          <t>ДОПУЩЕНИЕ: множитель к чистому объёму</t>
        </is>
      </c>
    </row>
    <row r="32">
      <c r="A32" s="4" t="inlineStr">
        <is>
          <t>КОММЕРЦИЯ И ПОСТОЯННЫЕ</t>
        </is>
      </c>
      <c r="B32" s="5" t="n"/>
      <c r="C32" s="5" t="n"/>
      <c r="D32" s="5" t="n"/>
    </row>
    <row r="33">
      <c r="A33" s="6" t="inlineStr">
        <is>
          <t>Комиссия эквайринга</t>
        </is>
      </c>
      <c r="B33" s="15" t="n">
        <v>0.02</v>
      </c>
      <c r="C33" s="8" t="inlineStr">
        <is>
          <t>%</t>
        </is>
      </c>
      <c r="D33" s="9" t="inlineStr">
        <is>
          <t>ДОПУЩЕНИЕ: 2%. При оплате по счёту = 0%</t>
        </is>
      </c>
    </row>
    <row r="34">
      <c r="A34" s="6" t="inlineStr">
        <is>
          <t>Стоимость онбординга клиента</t>
        </is>
      </c>
      <c r="B34" s="17" t="n">
        <v>15000</v>
      </c>
      <c r="C34" s="8" t="inlineStr">
        <is>
          <t>₽</t>
        </is>
      </c>
      <c r="D34" s="9" t="inlineStr">
        <is>
          <t>ДОПУЩЕНИЕ: 14 ч × ₽1000/ч + запас</t>
        </is>
      </c>
    </row>
    <row r="35">
      <c r="A35" s="6" t="inlineStr">
        <is>
          <t>Ставка поддержки</t>
        </is>
      </c>
      <c r="B35" s="16" t="n">
        <v>1000</v>
      </c>
      <c r="C35" s="8" t="inlineStr">
        <is>
          <t>₽/час</t>
        </is>
      </c>
      <c r="D35" s="9" t="inlineStr">
        <is>
          <t>ДОПУЩЕНИЕ: полностью нагруженный час</t>
        </is>
      </c>
    </row>
    <row r="36">
      <c r="A36" s="6" t="inlineStr">
        <is>
          <t>Инфраструктура на клиента в год</t>
        </is>
      </c>
      <c r="B36" s="17" t="n">
        <v>670</v>
      </c>
      <c r="C36" s="8" t="inlineStr">
        <is>
          <t>₽</t>
        </is>
      </c>
      <c r="D36" s="9" t="inlineStr">
        <is>
          <t>CPX41 €40/мес × 15% доли / 10 клиентов</t>
        </is>
      </c>
    </row>
    <row r="37">
      <c r="A37" s="6" t="inlineStr">
        <is>
          <t>Ставка УСН «Доходы»</t>
        </is>
      </c>
      <c r="B37" s="15" t="n">
        <v>0.06</v>
      </c>
      <c r="C37" s="8" t="inlineStr">
        <is>
          <t>%</t>
        </is>
      </c>
      <c r="D37" s="9" t="inlineStr">
        <is>
          <t>УСН 6% выгоднее 15%: затраты 54–58% &lt; 60% точки безразличия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Себестоимость одной примерки</t>
        </is>
      </c>
    </row>
    <row r="3" ht="28" customHeight="1">
      <c r="A3" s="3" t="inlineStr">
        <is>
          <t>Вещей в образе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Взвешенно</t>
        </is>
      </c>
    </row>
    <row r="4">
      <c r="A4" s="8" t="inlineStr">
        <is>
          <t>Input-токенов</t>
        </is>
      </c>
      <c r="B4" s="18">
        <f>Допущения!$B$13+(1-1)*Допущения!$B$14</f>
        <v/>
      </c>
      <c r="C4" s="18">
        <f>Допущения!$B$13+(2-1)*Допущения!$B$14</f>
        <v/>
      </c>
      <c r="D4" s="18">
        <f>Допущения!$B$13+(3-1)*Допущения!$B$14</f>
        <v/>
      </c>
      <c r="E4" s="18">
        <f>Допущения!$B$13+(4-1)*Допущения!$B$14</f>
        <v/>
      </c>
    </row>
    <row r="5">
      <c r="A5" s="8" t="inlineStr">
        <is>
          <t>Output-токенов (картинка + текст)</t>
        </is>
      </c>
      <c r="B5" s="18">
        <f>Допущения!$B$15+Допущения!$B$16</f>
        <v/>
      </c>
      <c r="C5" s="18">
        <f>Допущения!$B$15+Допущения!$B$16</f>
        <v/>
      </c>
      <c r="D5" s="18">
        <f>Допущения!$B$15+Допущения!$B$16</f>
        <v/>
      </c>
      <c r="E5" s="18">
        <f>Допущения!$B$15+Допущения!$B$16</f>
        <v/>
      </c>
    </row>
    <row r="6">
      <c r="A6" s="8" t="inlineStr">
        <is>
          <t>Стоимость генерации, $</t>
        </is>
      </c>
      <c r="B6" s="19">
        <f>B4*Допущения!$B$11/1000000+B5*Допущения!$B$12/1000000</f>
        <v/>
      </c>
      <c r="C6" s="19">
        <f>C4*Допущения!$B$11/1000000+C5*Допущения!$B$12/1000000</f>
        <v/>
      </c>
      <c r="D6" s="19">
        <f>D4*Допущения!$B$11/1000000+D5*Допущения!$B$12/1000000</f>
        <v/>
      </c>
      <c r="E6" s="19">
        <f>E4*Допущения!$B$11/1000000+E5*Допущения!$B$12/1000000</f>
        <v/>
      </c>
    </row>
    <row r="7">
      <c r="A7" s="20" t="inlineStr">
        <is>
          <t>Стоимость генерации, ₽</t>
        </is>
      </c>
      <c r="B7" s="21">
        <f>B6*Допущения!$B$6</f>
        <v/>
      </c>
      <c r="C7" s="21">
        <f>C6*Допущения!$B$6</f>
        <v/>
      </c>
      <c r="D7" s="21">
        <f>D6*Допущения!$B$6</f>
        <v/>
      </c>
      <c r="E7" s="21">
        <f>E6*Допущения!$B$6</f>
        <v/>
      </c>
      <c r="F7" s="22">
        <f>SUMPRODUCT(B7:E7,B8:E8)</f>
        <v/>
      </c>
    </row>
    <row r="8">
      <c r="A8" s="8" t="inlineStr">
        <is>
          <t>Доля в реальной корзине</t>
        </is>
      </c>
      <c r="B8" s="23">
        <f>Допущения!$B$18</f>
        <v/>
      </c>
      <c r="C8" s="23">
        <f>Допущения!$B$19</f>
        <v/>
      </c>
      <c r="D8" s="23">
        <f>Допущения!$B$20</f>
        <v/>
      </c>
      <c r="E8" s="23">
        <f>Допущения!$B$21</f>
        <v/>
      </c>
      <c r="F8" s="23">
        <f>SUM(B8:E8)</f>
        <v/>
      </c>
    </row>
    <row r="10">
      <c r="A10" s="4" t="inlineStr">
        <is>
          <t>СТАТЬИ СЕБЕСТОИМОСТИ (на 1 доставленную примерку)</t>
        </is>
      </c>
      <c r="B10" s="5" t="n"/>
      <c r="C10" s="5" t="n"/>
      <c r="D10" s="5" t="n"/>
      <c r="E10" s="5" t="n"/>
      <c r="F10" s="5" t="n"/>
    </row>
    <row r="11" ht="28" customHeight="1">
      <c r="A11" s="3" t="inlineStr">
        <is>
          <t>Статья</t>
        </is>
      </c>
      <c r="B11" s="3" t="inlineStr">
        <is>
          <t>₽</t>
        </is>
      </c>
      <c r="C11" s="3" t="inlineStr">
        <is>
          <t>Доля</t>
        </is>
      </c>
      <c r="D11" s="3" t="inlineStr"/>
      <c r="E11" s="3" t="inlineStr"/>
      <c r="F11" s="3" t="inlineStr">
        <is>
          <t>Комментарий</t>
        </is>
      </c>
    </row>
    <row r="12">
      <c r="A12" s="6" t="inlineStr">
        <is>
          <t>AI-генерация (взвешенная по корзине)</t>
        </is>
      </c>
      <c r="B12" s="24">
        <f>F7</f>
        <v/>
      </c>
      <c r="C12" s="23">
        <f>IFERROR(B12/$B$17,0)</f>
        <v/>
      </c>
      <c r="F12" s="25" t="inlineStr">
        <is>
          <t>Формула: SUMPRODUCT(цена по слоям × доля слоёв)</t>
        </is>
      </c>
    </row>
    <row r="13">
      <c r="A13" s="6" t="inlineStr">
        <is>
          <t>Отказы и ретраи</t>
        </is>
      </c>
      <c r="B13" s="24">
        <f>Допущения!$B$23*F7*Допущения!$B$24</f>
        <v/>
      </c>
      <c r="C13" s="23">
        <f>IFERROR(B13/$B$17,0)</f>
        <v/>
      </c>
      <c r="F13" s="25" t="inlineStr">
        <is>
          <t>19,5% лишних попыток × доля стоимости неуспешной</t>
        </is>
      </c>
    </row>
    <row r="14">
      <c r="A14" s="6" t="inlineStr">
        <is>
          <t>Хранение</t>
        </is>
      </c>
      <c r="B14" s="24">
        <f>Допущения!$B$28/1024*Допущения!$B$29*Допущения!$B$30*Допущения!$B$31</f>
        <v/>
      </c>
      <c r="C14" s="23">
        <f>IFERROR(B14/$B$17,0)</f>
        <v/>
      </c>
      <c r="F14" s="25" t="inlineStr">
        <is>
          <t>МБ→ГБ × цена × срок × запас на бэкапы</t>
        </is>
      </c>
    </row>
    <row r="15">
      <c r="A15" s="6" t="inlineStr">
        <is>
          <t>Валидация фото (гейткипер)</t>
        </is>
      </c>
      <c r="B15" s="24">
        <f>Допущения!$B$25*(1+Допущения!$B$27)/Допущения!$B$26</f>
        <v/>
      </c>
      <c r="C15" s="23">
        <f>IFERROR(B15/$B$17,0)</f>
        <v/>
      </c>
      <c r="F15" s="25" t="inlineStr">
        <is>
          <t>Стоимость вызова × надбавка / примерок на фото</t>
        </is>
      </c>
    </row>
    <row r="16">
      <c r="A16" s="6" t="inlineStr">
        <is>
          <t>Трафик / CDN</t>
        </is>
      </c>
      <c r="B16" s="24" t="n">
        <v>0</v>
      </c>
      <c r="C16" s="23">
        <f>IFERROR(B16/$B$17,0)</f>
        <v/>
      </c>
      <c r="F16" s="25" t="inlineStr">
        <is>
          <t>Внутри включённых 20 ТБ Hetzner</t>
        </is>
      </c>
    </row>
    <row r="17">
      <c r="A17" s="26" t="inlineStr">
        <is>
          <t>MARGINAL COST</t>
        </is>
      </c>
      <c r="B17" s="22">
        <f>SUM(B12:B16)</f>
        <v/>
      </c>
      <c r="C17" s="23">
        <f>IFERROR(B17/$B$17,0)</f>
        <v/>
      </c>
      <c r="F17" s="25" t="n"/>
    </row>
    <row r="18">
      <c r="A18" s="6" t="inlineStr">
        <is>
          <t>Эквайринг</t>
        </is>
      </c>
      <c r="B18" s="24">
        <f>Допущения!$B$33*Допущения!$B$7</f>
        <v/>
      </c>
      <c r="C18" s="23">
        <f>IFERROR(B18/$B$17,0)</f>
        <v/>
      </c>
      <c r="F18" s="25" t="inlineStr">
        <is>
          <t>При оплате по счёту = 0 → +4% контрибуции</t>
        </is>
      </c>
    </row>
    <row r="19">
      <c r="A19" s="26" t="inlineStr">
        <is>
          <t>Marginal с эквайрингом</t>
        </is>
      </c>
      <c r="B19" s="22">
        <f>B17+B18</f>
        <v/>
      </c>
      <c r="C19" s="23">
        <f>IFERROR(B19/$B$17,0)</f>
        <v/>
      </c>
      <c r="F19" s="25" t="n"/>
    </row>
    <row r="21">
      <c r="A21" s="20" t="inlineStr">
        <is>
          <t>Контрибуция с одной примерки</t>
        </is>
      </c>
      <c r="B21" s="22">
        <f>Допущения!$B$7-B19</f>
        <v/>
      </c>
    </row>
    <row r="22">
      <c r="A22" s="20" t="inlineStr">
        <is>
          <t>Контрибуционная маржа</t>
        </is>
      </c>
      <c r="B22" s="27">
        <f>B21/Допущения!$B$7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P&amp;L по пакетам — цена 10 ₽ + setup fee 30 000 ₽</t>
        </is>
      </c>
    </row>
    <row r="2">
      <c r="A2" s="2" t="inlineStr">
        <is>
          <t>Горизонт 12 месяцев. ДОПУЩЕНИЕ: пакет полностью использован в течение года.</t>
        </is>
      </c>
    </row>
    <row r="4" ht="28" customHeight="1">
      <c r="A4" s="3" t="inlineStr">
        <is>
          <t>Статья</t>
        </is>
      </c>
      <c r="B4" s="3" t="inlineStr">
        <is>
          <t>Пакет 5 000</t>
        </is>
      </c>
      <c r="C4" s="3" t="inlineStr">
        <is>
          <t>Пакет 15 000</t>
        </is>
      </c>
      <c r="D4" s="3" t="inlineStr">
        <is>
          <t>Пакет 30 000</t>
        </is>
      </c>
    </row>
    <row r="5">
      <c r="A5" s="20" t="inlineStr">
        <is>
          <t>Объём примерок</t>
        </is>
      </c>
      <c r="B5" s="14" t="n">
        <v>5000</v>
      </c>
      <c r="C5" s="14" t="n">
        <v>15000</v>
      </c>
      <c r="D5" s="14" t="n">
        <v>30000</v>
      </c>
    </row>
    <row r="6">
      <c r="A6" s="6" t="inlineStr">
        <is>
          <t>Setup fee</t>
        </is>
      </c>
      <c r="B6" s="28">
        <f>Допущения!$B$8</f>
        <v/>
      </c>
      <c r="C6" s="28">
        <f>Допущения!$B$8</f>
        <v/>
      </c>
      <c r="D6" s="28">
        <f>Допущения!$B$8</f>
        <v/>
      </c>
    </row>
    <row r="7">
      <c r="A7" s="6" t="inlineStr">
        <is>
          <t>Выручка с примерок</t>
        </is>
      </c>
      <c r="B7" s="28">
        <f>B5*Допущения!$B$7</f>
        <v/>
      </c>
      <c r="C7" s="28">
        <f>C5*Допущения!$B$7</f>
        <v/>
      </c>
      <c r="D7" s="28">
        <f>D5*Допущения!$B$7</f>
        <v/>
      </c>
    </row>
    <row r="8">
      <c r="A8" s="26" t="inlineStr">
        <is>
          <t>ВЫРУЧКА</t>
        </is>
      </c>
      <c r="B8" s="29">
        <f>B6+B7</f>
        <v/>
      </c>
      <c r="C8" s="29">
        <f>C6+C7</f>
        <v/>
      </c>
      <c r="D8" s="29">
        <f>D6+D7</f>
        <v/>
      </c>
    </row>
    <row r="9">
      <c r="A9" s="6" t="inlineStr">
        <is>
          <t>AI + хранение + валидация</t>
        </is>
      </c>
      <c r="B9" s="28">
        <f>-B5*Себестоимость!$B$17</f>
        <v/>
      </c>
      <c r="C9" s="28">
        <f>-C5*Себестоимость!$B$17</f>
        <v/>
      </c>
      <c r="D9" s="28">
        <f>-D5*Себестоимость!$B$17</f>
        <v/>
      </c>
    </row>
    <row r="10">
      <c r="A10" s="6" t="inlineStr">
        <is>
          <t>Эквайринг</t>
        </is>
      </c>
      <c r="B10" s="28">
        <f>-B8*Допущения!$B$33</f>
        <v/>
      </c>
      <c r="C10" s="28">
        <f>-C8*Допущения!$B$33</f>
        <v/>
      </c>
      <c r="D10" s="28">
        <f>-D8*Допущения!$B$33</f>
        <v/>
      </c>
    </row>
    <row r="11">
      <c r="A11" s="6" t="inlineStr">
        <is>
          <t>Онбординг (разовый)</t>
        </is>
      </c>
      <c r="B11" s="28">
        <f>-Допущения!$B$34</f>
        <v/>
      </c>
      <c r="C11" s="28">
        <f>-Допущения!$B$34</f>
        <v/>
      </c>
      <c r="D11" s="28">
        <f>-Допущения!$B$34</f>
        <v/>
      </c>
    </row>
    <row r="12">
      <c r="A12" s="6" t="inlineStr">
        <is>
          <t>Поддержка (12 мес)</t>
        </is>
      </c>
      <c r="B12" s="28">
        <f>-Допущения!$B$35*IF(B5&lt;=5000,0.5,IF(B5&lt;=15000,1,1.5))*12</f>
        <v/>
      </c>
      <c r="C12" s="28">
        <f>-Допущения!$B$35*IF(C5&lt;=5000,0.5,IF(C5&lt;=15000,1,1.5))*12</f>
        <v/>
      </c>
      <c r="D12" s="28">
        <f>-Допущения!$B$35*IF(D5&lt;=5000,0.5,IF(D5&lt;=15000,1,1.5))*12</f>
        <v/>
      </c>
    </row>
    <row r="13">
      <c r="A13" s="6" t="inlineStr">
        <is>
          <t>Инфраструктура</t>
        </is>
      </c>
      <c r="B13" s="28">
        <f>-Допущения!$B$36*IF(B5&gt;15000,2,1)</f>
        <v/>
      </c>
      <c r="C13" s="28">
        <f>-Допущения!$B$36*IF(C5&gt;15000,2,1)</f>
        <v/>
      </c>
      <c r="D13" s="28">
        <f>-Допущения!$B$36*IF(D5&gt;15000,2,1)</f>
        <v/>
      </c>
    </row>
    <row r="14">
      <c r="A14" s="26" t="inlineStr">
        <is>
          <t>ЗАТРАТЫ</t>
        </is>
      </c>
      <c r="B14" s="30">
        <f>SUM(B9:B13)</f>
        <v/>
      </c>
      <c r="C14" s="30">
        <f>SUM(C9:C13)</f>
        <v/>
      </c>
      <c r="D14" s="30">
        <f>SUM(D9:D13)</f>
        <v/>
      </c>
    </row>
    <row r="15">
      <c r="A15" s="26" t="inlineStr">
        <is>
          <t>ВАЛОВАЯ ПРИБЫЛЬ</t>
        </is>
      </c>
      <c r="B15" s="29">
        <f>B8+B14</f>
        <v/>
      </c>
      <c r="C15" s="29">
        <f>C8+C14</f>
        <v/>
      </c>
      <c r="D15" s="29">
        <f>D8+D14</f>
        <v/>
      </c>
    </row>
    <row r="16">
      <c r="A16" s="26" t="inlineStr">
        <is>
          <t>Валовая маржа</t>
        </is>
      </c>
      <c r="B16" s="27">
        <f>B15/B8</f>
        <v/>
      </c>
      <c r="C16" s="27">
        <f>C15/C8</f>
        <v/>
      </c>
      <c r="D16" s="27">
        <f>D15/D8</f>
        <v/>
      </c>
    </row>
    <row r="17">
      <c r="A17" s="6" t="inlineStr">
        <is>
          <t>Налог УСН</t>
        </is>
      </c>
      <c r="B17" s="28">
        <f>-B8*Допущения!$B$37</f>
        <v/>
      </c>
      <c r="C17" s="28">
        <f>-C8*Допущения!$B$37</f>
        <v/>
      </c>
      <c r="D17" s="28">
        <f>-D8*Допущения!$B$37</f>
        <v/>
      </c>
    </row>
    <row r="18">
      <c r="A18" s="26" t="inlineStr">
        <is>
          <t>ЧИСТАЯ ПРИБЫЛЬ</t>
        </is>
      </c>
      <c r="B18" s="29">
        <f>B15+B17</f>
        <v/>
      </c>
      <c r="C18" s="29">
        <f>C15+C17</f>
        <v/>
      </c>
      <c r="D18" s="29">
        <f>D15+D17</f>
        <v/>
      </c>
    </row>
    <row r="19">
      <c r="A19" s="26" t="inlineStr">
        <is>
          <t>Чистая маржа</t>
        </is>
      </c>
      <c r="B19" s="27">
        <f>B18/B8</f>
        <v/>
      </c>
      <c r="C19" s="27">
        <f>C18/C8</f>
        <v/>
      </c>
      <c r="D19" s="27">
        <f>D18/D8</f>
        <v/>
      </c>
    </row>
    <row r="20">
      <c r="A20" s="6" t="inlineStr">
        <is>
          <t>Fully-loaded себестоимость / примерка</t>
        </is>
      </c>
      <c r="B20" s="28">
        <f>-B14/B5</f>
        <v/>
      </c>
      <c r="C20" s="28">
        <f>-C14/C5</f>
        <v/>
      </c>
      <c r="D20" s="28">
        <f>-D14/D5</f>
        <v/>
      </c>
    </row>
    <row r="21">
      <c r="A21" s="6" t="inlineStr">
        <is>
          <t>Выручка / примерка</t>
        </is>
      </c>
      <c r="B21" s="28">
        <f>B8/B5</f>
        <v/>
      </c>
      <c r="C21" s="28">
        <f>C8/C5</f>
        <v/>
      </c>
      <c r="D21" s="28">
        <f>D8/D5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Чувствительность: что ломает модель</t>
        </is>
      </c>
    </row>
    <row r="3" ht="28" customHeight="1">
      <c r="A3" s="3" t="inlineStr">
        <is>
          <t>Сценарий</t>
        </is>
      </c>
      <c r="B3" s="3" t="inlineStr">
        <is>
          <t>Marginal cost</t>
        </is>
      </c>
      <c r="C3" s="3" t="inlineStr">
        <is>
          <t>Контрибуция</t>
        </is>
      </c>
      <c r="D3" s="3" t="inlineStr">
        <is>
          <t>Валовая маржа (15k)</t>
        </is>
      </c>
      <c r="E3" s="3" t="inlineStr">
        <is>
          <t>Комментарий</t>
        </is>
      </c>
    </row>
    <row r="4">
      <c r="A4" s="6" t="inlineStr">
        <is>
          <t>База (текущие допущения)</t>
        </is>
      </c>
      <c r="B4" s="31">
        <f>Себестоимость!B19</f>
        <v/>
      </c>
      <c r="C4" s="31">
        <f>Допущения!$B$7-B4</f>
        <v/>
      </c>
      <c r="D4" s="23">
        <f>(15000*Допущения!$B$7+Допущения!$B$8-15000*B4-Допущения!$B$34-Допущения!$B$35*12-Допущения!$B$36)/(15000*Допущения!$B$7+Допущения!$B$8)</f>
        <v/>
      </c>
      <c r="E4" s="25" t="n"/>
    </row>
    <row r="5">
      <c r="A5" s="6" t="inlineStr">
        <is>
          <t>Цена AI ×2</t>
        </is>
      </c>
      <c r="B5" s="31">
        <f>Себестоимость!B17*2+Себестоимость!B18</f>
        <v/>
      </c>
      <c r="C5" s="31">
        <f>Допущения!$B$7-B5</f>
        <v/>
      </c>
      <c r="D5" s="23">
        <f>(15000*Допущения!$B$7+Допущения!$B$8-15000*B5-Допущения!$B$34-Допущения!$B$35*12-Допущения!$B$36)/(15000*Допущения!$B$7+Допущения!$B$8)</f>
        <v/>
      </c>
      <c r="E5" s="25" t="inlineStr">
        <is>
          <t>Модель ломается: маржа ~7%</t>
        </is>
      </c>
    </row>
    <row r="6">
      <c r="A6" s="6" t="inlineStr">
        <is>
          <t>Курс 100 ₽/$</t>
        </is>
      </c>
      <c r="B6" s="31">
        <f>Себестоимость!B17*(100/Допущения!$B$6)+Себестоимость!B18</f>
        <v/>
      </c>
      <c r="C6" s="31">
        <f>Допущения!$B$7-B6</f>
        <v/>
      </c>
      <c r="D6" s="23">
        <f>(15000*Допущения!$B$7+Допущения!$B$8-15000*B6-Допущения!$B$34-Допущения!$B$35*12-Допущения!$B$36)/(15000*Допущения!$B$7+Допущения!$B$8)</f>
        <v/>
      </c>
      <c r="E6" s="25" t="inlineStr">
        <is>
          <t>Переживаемо: −6 п.п.</t>
        </is>
      </c>
    </row>
    <row r="7">
      <c r="A7" s="6" t="inlineStr">
        <is>
          <t>Корзина 40/30/20/10%</t>
        </is>
      </c>
      <c r="B7" s="31">
        <f>Себестоимость!B7*0.4+Себестоимость!C7*0.3+Себестоимость!D7*0.2+Себестоимость!E7*0.1+Себестоимость!B13+Себестоимость!B14+Себестоимость!B15+Себестоимость!B18</f>
        <v/>
      </c>
      <c r="C7" s="31">
        <f>Допущения!$B$7-B7</f>
        <v/>
      </c>
      <c r="D7" s="23">
        <f>(15000*Допущения!$B$7+Допущения!$B$8-15000*B7-Допущения!$B$34-Допущения!$B$35*12-Допущения!$B$36)/(15000*Допущения!$B$7+Допущения!$B$8)</f>
        <v/>
      </c>
      <c r="E7" s="25" t="inlineStr">
        <is>
          <t>Сдвиг в многослойность</t>
        </is>
      </c>
    </row>
    <row r="8">
      <c r="A8" s="6" t="inlineStr">
        <is>
          <t>Худший (AI×2 + курс 100 + корзина)</t>
        </is>
      </c>
      <c r="B8" s="31">
        <f>(Себестоимость!B7*0.4+Себестоимость!C7*0.3+Себестоимость!D7*0.2+Себестоимость!E7*0.1)*2*(100/86)+Себестоимость!B13+Себестоимость!B14+Себестоимость!B15+Себестоимость!B18</f>
        <v/>
      </c>
      <c r="C8" s="31">
        <f>Допущения!$B$7-B8</f>
        <v/>
      </c>
      <c r="D8" s="23">
        <f>(15000*Допущения!$B$7+Допущения!$B$8-15000*B8-Допущения!$B$34-Допущения!$B$35*12-Допущения!$B$36)/(15000*Допущения!$B$7+Допущения!$B$8)</f>
        <v/>
      </c>
      <c r="E8" s="25" t="inlineStr">
        <is>
          <t>Каждая примерка убыточна</t>
        </is>
      </c>
    </row>
    <row r="10">
      <c r="A10" s="20" t="inlineStr">
        <is>
          <t>Ценовой пол при удвоении цены AI (контрибуция = 0):</t>
        </is>
      </c>
      <c r="B10" s="22">
        <f>B5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10 ₽ + setup 30 000 ₽ против текущих 8 ₽ без setup</t>
        </is>
      </c>
    </row>
    <row r="3" ht="28" customHeight="1">
      <c r="A3" s="3" t="inlineStr">
        <is>
          <t>Объём примерок</t>
        </is>
      </c>
      <c r="B3" s="3" t="inlineStr">
        <is>
          <t>Прибыль: 8 ₽</t>
        </is>
      </c>
      <c r="C3" s="3" t="inlineStr">
        <is>
          <t>Прибыль: 10 ₽ + setup</t>
        </is>
      </c>
      <c r="D3" s="3" t="inlineStr">
        <is>
          <t>Разница</t>
        </is>
      </c>
      <c r="E3" s="3" t="inlineStr">
        <is>
          <t>Платит клиент: во сколько раз дороже</t>
        </is>
      </c>
    </row>
    <row r="4">
      <c r="A4" s="32" t="n">
        <v>1000</v>
      </c>
      <c r="B4" s="33">
        <f>A4*(Допущения!$B$9-Себестоимость!$B$17-Допущения!$B$9*Допущения!$B$33)-Допущения!$B$34-Допущения!$B$35*12-Допущения!$B$36</f>
        <v/>
      </c>
      <c r="C4" s="33">
        <f>Допущения!$B$8*(1-Допущения!$B$33)+A4*Себестоимость!$B$21-Допущения!$B$34-Допущения!$B$35*12-Допущения!$B$36</f>
        <v/>
      </c>
      <c r="D4" s="33">
        <f>C4-B4</f>
        <v/>
      </c>
      <c r="E4" s="34">
        <f>(Допущения!$B$8+A4*Допущения!$B$7)/(A4*Допущения!$B$9)</f>
        <v/>
      </c>
    </row>
    <row r="5">
      <c r="A5" s="32" t="n">
        <v>2000</v>
      </c>
      <c r="B5" s="33">
        <f>A5*(Допущения!$B$9-Себестоимость!$B$17-Допущения!$B$9*Допущения!$B$33)-Допущения!$B$34-Допущения!$B$35*12-Допущения!$B$36</f>
        <v/>
      </c>
      <c r="C5" s="33">
        <f>Допущения!$B$8*(1-Допущения!$B$33)+A5*Себестоимость!$B$21-Допущения!$B$34-Допущения!$B$35*12-Допущения!$B$36</f>
        <v/>
      </c>
      <c r="D5" s="33">
        <f>C5-B5</f>
        <v/>
      </c>
      <c r="E5" s="34">
        <f>(Допущения!$B$8+A5*Допущения!$B$7)/(A5*Допущения!$B$9)</f>
        <v/>
      </c>
    </row>
    <row r="6">
      <c r="A6" s="32" t="n">
        <v>5000</v>
      </c>
      <c r="B6" s="33">
        <f>A6*(Допущения!$B$9-Себестоимость!$B$17-Допущения!$B$9*Допущения!$B$33)-Допущения!$B$34-Допущения!$B$35*12-Допущения!$B$36</f>
        <v/>
      </c>
      <c r="C6" s="33">
        <f>Допущения!$B$8*(1-Допущения!$B$33)+A6*Себестоимость!$B$21-Допущения!$B$34-Допущения!$B$35*12-Допущения!$B$36</f>
        <v/>
      </c>
      <c r="D6" s="33">
        <f>C6-B6</f>
        <v/>
      </c>
      <c r="E6" s="34">
        <f>(Допущения!$B$8+A6*Допущения!$B$7)/(A6*Допущения!$B$9)</f>
        <v/>
      </c>
    </row>
    <row r="7">
      <c r="A7" s="32" t="n">
        <v>10000</v>
      </c>
      <c r="B7" s="33">
        <f>A7*(Допущения!$B$9-Себестоимость!$B$17-Допущения!$B$9*Допущения!$B$33)-Допущения!$B$34-Допущения!$B$35*12-Допущения!$B$36</f>
        <v/>
      </c>
      <c r="C7" s="33">
        <f>Допущения!$B$8*(1-Допущения!$B$33)+A7*Себестоимость!$B$21-Допущения!$B$34-Допущения!$B$35*12-Допущения!$B$36</f>
        <v/>
      </c>
      <c r="D7" s="33">
        <f>C7-B7</f>
        <v/>
      </c>
      <c r="E7" s="34">
        <f>(Допущения!$B$8+A7*Допущения!$B$7)/(A7*Допущения!$B$9)</f>
        <v/>
      </c>
    </row>
    <row r="8">
      <c r="A8" s="32" t="n">
        <v>15000</v>
      </c>
      <c r="B8" s="33">
        <f>A8*(Допущения!$B$9-Себестоимость!$B$17-Допущения!$B$9*Допущения!$B$33)-Допущения!$B$34-Допущения!$B$35*12-Допущения!$B$36</f>
        <v/>
      </c>
      <c r="C8" s="33">
        <f>Допущения!$B$8*(1-Допущения!$B$33)+A8*Себестоимость!$B$21-Допущения!$B$34-Допущения!$B$35*12-Допущения!$B$36</f>
        <v/>
      </c>
      <c r="D8" s="33">
        <f>C8-B8</f>
        <v/>
      </c>
      <c r="E8" s="34">
        <f>(Допущения!$B$8+A8*Допущения!$B$7)/(A8*Допущения!$B$9)</f>
        <v/>
      </c>
    </row>
    <row r="9">
      <c r="A9" s="32" t="n">
        <v>20000</v>
      </c>
      <c r="B9" s="33">
        <f>A9*(Допущения!$B$9-Себестоимость!$B$17-Допущения!$B$9*Допущения!$B$33)-Допущения!$B$34-Допущения!$B$35*12-Допущения!$B$36</f>
        <v/>
      </c>
      <c r="C9" s="33">
        <f>Допущения!$B$8*(1-Допущения!$B$33)+A9*Себестоимость!$B$21-Допущения!$B$34-Допущения!$B$35*12-Допущения!$B$36</f>
        <v/>
      </c>
      <c r="D9" s="33">
        <f>C9-B9</f>
        <v/>
      </c>
      <c r="E9" s="34">
        <f>(Допущения!$B$8+A9*Допущения!$B$7)/(A9*Допущения!$B$9)</f>
        <v/>
      </c>
    </row>
    <row r="10">
      <c r="A10" s="32" t="n">
        <v>30000</v>
      </c>
      <c r="B10" s="33">
        <f>A10*(Допущения!$B$9-Себестоимость!$B$17-Допущения!$B$9*Допущения!$B$33)-Допущения!$B$34-Допущения!$B$35*12-Допущения!$B$36</f>
        <v/>
      </c>
      <c r="C10" s="33">
        <f>Допущения!$B$8*(1-Допущения!$B$33)+A10*Себестоимость!$B$21-Допущения!$B$34-Допущения!$B$35*12-Допущения!$B$36</f>
        <v/>
      </c>
      <c r="D10" s="33">
        <f>C10-B10</f>
        <v/>
      </c>
      <c r="E10" s="34">
        <f>(Допущения!$B$8+A10*Допущения!$B$7)/(A10*Допущения!$B$9)</f>
        <v/>
      </c>
    </row>
    <row r="12">
      <c r="A12" s="20" t="inlineStr">
        <is>
          <t>Точка безубыточности по клиенту (примерок до окупания подключения)</t>
        </is>
      </c>
    </row>
    <row r="13">
      <c r="A13" t="inlineStr">
        <is>
          <t>Сценарий 10 ₽ + setup 30k</t>
        </is>
      </c>
      <c r="B13" s="35">
        <f>MAX(0,(Допущения!$B$34+Допущения!$B$35*12+Допущения!$B$36-Допущения!$B$8*(1-Допущения!$B$33))/Себестоимость!$B$21)</f>
        <v/>
      </c>
    </row>
    <row r="14">
      <c r="A14" t="inlineStr">
        <is>
          <t>Сценарий 10 ₽ без setup</t>
        </is>
      </c>
      <c r="B14" s="36">
        <f>(Допущения!$B$34+Допущения!$B$35*12+Допущения!$B$36)/Себестоимость!$B$21</f>
        <v/>
      </c>
    </row>
    <row r="15">
      <c r="A15" t="inlineStr">
        <is>
          <t>Текущие 8 ₽ без setup</t>
        </is>
      </c>
      <c r="B15" s="36">
        <f>(Допущения!$B$34+Допущения!$B$35*12+Допущения!$B$36)/(Допущения!$B$9-Себестоимость!$B$17-Допущения!$B$9*Допущения!$B$33)</f>
        <v/>
      </c>
      <c r="D15" s="37" t="inlineStr">
        <is>
          <t>Лучший клиент за 5 мес сделал 1 889 примерок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4" customWidth="1" min="2" max="2"/>
    <col width="20" customWidth="1" min="3" max="3"/>
    <col width="46" customWidth="1" min="4" max="4"/>
  </cols>
  <sheetData>
    <row r="1" ht="22" customHeight="1">
      <c r="A1" s="1" t="inlineStr">
        <is>
          <t>Риски: что может сломать модель</t>
        </is>
      </c>
    </row>
    <row r="3" ht="28" customHeight="1">
      <c r="A3" s="3" t="inlineStr">
        <is>
          <t>#</t>
        </is>
      </c>
      <c r="B3" s="3" t="inlineStr">
        <is>
          <t>Риск</t>
        </is>
      </c>
      <c r="C3" s="3" t="inlineStr">
        <is>
          <t>Уровень</t>
        </is>
      </c>
      <c r="D3" s="3" t="inlineStr">
        <is>
          <t>Что делать</t>
        </is>
      </c>
    </row>
    <row r="4" ht="30" customHeight="1">
      <c r="A4" s="8" t="n">
        <v>1</v>
      </c>
      <c r="B4" s="38" t="inlineStr">
        <is>
          <t>Токены не пишутся в ai_api_logs — колонки NULL во всех 2 144 строках. Себестоимость в проде физически неизмерима.</t>
        </is>
      </c>
      <c r="C4" s="39" t="inlineStr">
        <is>
          <t>КРИТИЧНЫЙ</t>
        </is>
      </c>
      <c r="D4" s="9" t="inlineStr">
        <is>
          <t>Включить запись — час работы, до первого договора</t>
        </is>
      </c>
    </row>
    <row r="5" ht="30" customHeight="1">
      <c r="A5" s="8" t="n">
        <v>2</v>
      </c>
      <c r="B5" s="38" t="inlineStr">
        <is>
          <t>Retention по 152-ФЗ не реализован нигде: ни cron, ни ILM в MinIO. Фото лиц хранятся бессрочно.</t>
        </is>
      </c>
      <c r="C5" s="39" t="inlineStr">
        <is>
          <t>КРИТИЧНЫЙ</t>
        </is>
      </c>
      <c r="D5" s="9" t="inlineStr">
        <is>
          <t>Юрист + реализация удаления</t>
        </is>
      </c>
    </row>
    <row r="6" ht="30" customHeight="1">
      <c r="A6" s="8" t="n">
        <v>3</v>
      </c>
      <c r="B6" s="38" t="inlineStr">
        <is>
          <t>Целостность данных: в БД 697 фото и 1 903 примерки, в MinIO — 6 фото и 4 результата. ~99% ссылок битые.</t>
        </is>
      </c>
      <c r="C6" s="39" t="inlineStr">
        <is>
          <t>КРИТИЧНЫЙ</t>
        </is>
      </c>
      <c r="D6" s="9" t="inlineStr">
        <is>
          <t>Аудит + починка, иначе история примерок пустая</t>
        </is>
      </c>
    </row>
    <row r="7" ht="30" customHeight="1">
      <c r="A7" s="8" t="n">
        <v>4</v>
      </c>
      <c r="B7" s="38" t="inlineStr">
        <is>
          <t>Вся статистика с одного клиента: 98,9% примерок — MalinaBonita. Корзина слоёв может быть нерепрезентативна.</t>
        </is>
      </c>
      <c r="C7" s="39" t="inlineStr">
        <is>
          <t>КРИТИЧНЫЙ</t>
        </is>
      </c>
      <c r="D7" s="9" t="inlineStr">
        <is>
          <t>Перепроверить после 2–3 новых клиентов</t>
        </is>
      </c>
    </row>
    <row r="8" ht="30" customHeight="1">
      <c r="A8" s="8" t="n">
        <v>5</v>
      </c>
      <c r="B8" s="38" t="inlineStr">
        <is>
          <t>Диск 84% (47 ГБ свободно). Один пакет 30k = 22,7 ГБ.</t>
        </is>
      </c>
      <c r="C8" s="40" t="inlineStr">
        <is>
          <t>ВЫСОКИЙ</t>
        </is>
      </c>
      <c r="D8" s="9" t="inlineStr">
        <is>
          <t>Расширить том до продажи больших пакетов</t>
        </is>
      </c>
    </row>
    <row r="9" ht="30" customHeight="1">
      <c r="A9" s="8" t="n">
        <v>6</v>
      </c>
      <c r="B9" s="38" t="inlineStr">
        <is>
          <t>Пакеты без срока годности = вечное обязательство. При темпе 378/мес пакет 30k = 6,6 лет.</t>
        </is>
      </c>
      <c r="C9" s="40" t="inlineStr">
        <is>
          <t>ВЫСОКИЙ</t>
        </is>
      </c>
      <c r="D9" s="9" t="inlineStr">
        <is>
          <t>Срок действия 12 мес + breakage в маржу</t>
        </is>
      </c>
    </row>
    <row r="10" ht="30" customHeight="1">
      <c r="A10" s="8" t="n">
        <v>7</v>
      </c>
      <c r="B10" s="38" t="inlineStr">
        <is>
          <t>Открытая валютная позиция: выручка в ₽, 93% себестоимости в $.</t>
        </is>
      </c>
      <c r="C10" s="40" t="inlineStr">
        <is>
          <t>ВЫСОКИЙ</t>
        </is>
      </c>
      <c r="D10" s="9" t="inlineStr">
        <is>
          <t>Индексировать прайс к курсу</t>
        </is>
      </c>
    </row>
    <row r="11" ht="30" customHeight="1">
      <c r="A11" s="8" t="n">
        <v>8</v>
      </c>
      <c r="B11" s="38" t="inlineStr">
        <is>
          <t>CometAPI — единственная точка отказа, реселлер без SLA + трансграничный платёж.</t>
        </is>
      </c>
      <c r="C11" s="40" t="inlineStr">
        <is>
          <t>ВЫСОКИЙ</t>
        </is>
      </c>
      <c r="D11" s="9" t="inlineStr">
        <is>
          <t>Держать прямой доступ к провайдеру как запасной</t>
        </is>
      </c>
    </row>
    <row r="12" ht="30" customHeight="1">
      <c r="A12" s="8" t="n">
        <v>9</v>
      </c>
      <c r="B12" s="38" t="inlineStr">
        <is>
          <t>Порог НДС на УСН снижается поэтапно — съест 5–7 п.п. маржи при росте.</t>
        </is>
      </c>
      <c r="C12" s="41" t="inlineStr">
        <is>
          <t>СРЕДНИЙ</t>
        </is>
      </c>
      <c r="D12" s="9" t="inlineStr">
        <is>
          <t>Проверить с бухгалтером до фиксации цены</t>
        </is>
      </c>
    </row>
    <row r="13" ht="30" customHeight="1">
      <c r="A13" s="8" t="n">
        <v>10</v>
      </c>
      <c r="B13" s="38" t="inlineStr">
        <is>
          <t>Секреты (COMETAPI_KEY) в plaintext в env на машине с 8 соседями.</t>
        </is>
      </c>
      <c r="C13" s="41" t="inlineStr">
        <is>
          <t>СРЕДНИЙ</t>
        </is>
      </c>
      <c r="D13" s="9" t="inlineStr">
        <is>
          <t>Вынести в секрет-хранилище</t>
        </is>
      </c>
    </row>
    <row r="14" ht="30" customHeight="1">
      <c r="A14" s="8" t="n">
        <v>11</v>
      </c>
      <c r="B14" s="38" t="inlineStr">
        <is>
          <t>Не зафиксировано договором, тарифицируется ли клиенту неудачная примерка (11,3% отказов).</t>
        </is>
      </c>
      <c r="C14" s="41" t="inlineStr">
        <is>
          <t>СРЕДНИЙ</t>
        </is>
      </c>
      <c r="D14" s="9" t="inlineStr">
        <is>
          <t>Прописать в оферте</t>
        </is>
      </c>
    </row>
    <row r="15" ht="30" customHeight="1">
      <c r="A15" s="8" t="n">
        <v>12</v>
      </c>
      <c r="B15" s="38" t="inlineStr">
        <is>
          <t>Setup fee делает сделку вдвое дороже для мелкого клиента (2,0× на 5k против 1,38× на 30k).</t>
        </is>
      </c>
      <c r="C15" s="41" t="inlineStr">
        <is>
          <t>СРЕДНИЙ</t>
        </is>
      </c>
      <c r="D15" s="9" t="inlineStr">
        <is>
          <t>Рассмотреть ступенчатый setup 30k/20k/0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2026-09-09T11:05:40Z</dcterms:created>
  <dcterms:modified xmlns:dcterms="http://purl.org/dc/terms/" xmlns:xsi="http://www.w3.org/2001/XMLSchema-instance" xsi:type="dcterms:W3CDTF">2026-09-09T11:05:40Z</dcterms:modified>
</cp:coreProperties>
</file>