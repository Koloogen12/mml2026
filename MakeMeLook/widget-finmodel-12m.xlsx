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опущения" sheetId="1" state="visible" r:id="rId1"/>
    <sheet xmlns:r="http://schemas.openxmlformats.org/officeDocument/2006/relationships" name="Команда" sheetId="2" state="visible" r:id="rId2"/>
    <sheet xmlns:r="http://schemas.openxmlformats.org/officeDocument/2006/relationships" name="Модель" sheetId="3" state="visible" r:id="rId3"/>
    <sheet xmlns:r="http://schemas.openxmlformats.org/officeDocument/2006/relationships" name="Итоги года" sheetId="4" state="visible" r:id="rId4"/>
    <sheet xmlns:r="http://schemas.openxmlformats.org/officeDocument/2006/relationships" name="Unit-экономика" sheetId="5" state="visible" r:id="rId5"/>
    <sheet xmlns:r="http://schemas.openxmlformats.org/officeDocument/2006/relationships" name="Риски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0 ₽"/>
    <numFmt numFmtId="165" formatCode="#,##0 ₽;(#,##0 ₽);-"/>
    <numFmt numFmtId="166" formatCode="0.0%"/>
    <numFmt numFmtId="167" formatCode="#,##0.0"/>
    <numFmt numFmtId="168" formatCode="0.0&quot;×&quot;"/>
  </numFmts>
  <fonts count="12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808080"/>
      <sz val="9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color rgb="000000FF"/>
      <sz val="10"/>
    </font>
    <font>
      <name val="Arial"/>
      <color rgb="00595959"/>
      <sz val="9"/>
    </font>
    <font>
      <name val="Arial"/>
      <i val="1"/>
      <color rgb="00595959"/>
      <sz val="9"/>
    </font>
    <font>
      <name val="Arial"/>
      <b val="1"/>
      <color rgb="00C00000"/>
      <sz val="10"/>
    </font>
    <font>
      <name val="Arial"/>
      <b val="1"/>
      <color rgb="00ED7D31"/>
      <sz val="10"/>
    </font>
    <font>
      <name val="Arial"/>
      <b val="1"/>
      <color rgb="00808080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3" borderId="0" pivotButton="0" quotePrefix="0" xfId="0"/>
    <xf numFmtId="0" fontId="0" fillId="3" borderId="0" pivotButton="0" quotePrefix="0" xfId="0"/>
    <xf numFmtId="0" fontId="5" fillId="0" borderId="1" pivotButton="0" quotePrefix="0" xfId="0"/>
    <xf numFmtId="4" fontId="6" fillId="4" borderId="0" pivotButton="0" quotePrefix="0" xfId="0"/>
    <xf numFmtId="0" fontId="5" fillId="0" borderId="0" pivotButton="0" quotePrefix="0" xfId="0"/>
    <xf numFmtId="0" fontId="7" fillId="0" borderId="0" applyAlignment="1" pivotButton="0" quotePrefix="0" xfId="0">
      <alignment vertical="top" wrapText="1"/>
    </xf>
    <xf numFmtId="164" fontId="6" fillId="4" borderId="0" pivotButton="0" quotePrefix="0" xfId="0"/>
    <xf numFmtId="165" fontId="6" fillId="4" borderId="0" pivotButton="0" quotePrefix="0" xfId="0"/>
    <xf numFmtId="3" fontId="6" fillId="4" borderId="0" pivotButton="0" quotePrefix="0" xfId="0"/>
    <xf numFmtId="166" fontId="6" fillId="4" borderId="0" pivotButton="0" quotePrefix="0" xfId="0"/>
    <xf numFmtId="0" fontId="7" fillId="0" borderId="0" pivotButton="0" quotePrefix="0" xfId="0"/>
    <xf numFmtId="0" fontId="3" fillId="2" borderId="0" pivotButton="0" quotePrefix="0" xfId="0"/>
    <xf numFmtId="3" fontId="0" fillId="0" borderId="0" pivotButton="0" quotePrefix="0" xfId="0"/>
    <xf numFmtId="2" fontId="6" fillId="4" borderId="0" pivotButton="0" quotePrefix="0" xfId="0"/>
    <xf numFmtId="165" fontId="5" fillId="0" borderId="0" pivotButton="0" quotePrefix="0" xfId="0"/>
    <xf numFmtId="165" fontId="4" fillId="5" borderId="0" pivotButton="0" quotePrefix="0" xfId="0"/>
    <xf numFmtId="3" fontId="5" fillId="0" borderId="0" pivotButton="0" quotePrefix="0" xfId="0"/>
    <xf numFmtId="3" fontId="4" fillId="5" borderId="0" pivotButton="0" quotePrefix="0" xfId="0"/>
    <xf numFmtId="0" fontId="4" fillId="0" borderId="1" pivotButton="0" quotePrefix="0" xfId="0"/>
    <xf numFmtId="3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66" fontId="4" fillId="5" borderId="0" pivotButton="0" quotePrefix="0" xfId="0"/>
    <xf numFmtId="167" fontId="5" fillId="0" borderId="0" pivotButton="0" quotePrefix="0" xfId="0"/>
    <xf numFmtId="167" fontId="4" fillId="5" borderId="0" pivotButton="0" quotePrefix="0" xfId="0"/>
    <xf numFmtId="0" fontId="8" fillId="0" borderId="0" pivotButton="0" quotePrefix="0" xfId="0"/>
    <xf numFmtId="165" fontId="4" fillId="4" borderId="0" pivotButton="0" quotePrefix="0" xfId="0"/>
    <xf numFmtId="164" fontId="4" fillId="0" borderId="0" pivotButton="0" quotePrefix="0" xfId="0"/>
    <xf numFmtId="164" fontId="5" fillId="0" borderId="0" pivotButton="0" quotePrefix="0" xfId="0"/>
    <xf numFmtId="164" fontId="5" fillId="4" borderId="0" pivotButton="0" quotePrefix="0" xfId="0"/>
    <xf numFmtId="166" fontId="5" fillId="0" borderId="0" pivotButton="0" quotePrefix="0" xfId="0"/>
    <xf numFmtId="165" fontId="5" fillId="4" borderId="0" pivotButton="0" quotePrefix="0" xfId="0"/>
    <xf numFmtId="168" fontId="4" fillId="4" borderId="0" pivotButton="0" quotePrefix="0" xfId="0"/>
    <xf numFmtId="167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9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5" customWidth="1" min="2" max="2"/>
    <col width="10" customWidth="1" min="3" max="3"/>
    <col width="60" customWidth="1" min="4" max="4"/>
  </cols>
  <sheetData>
    <row r="1">
      <c r="A1" s="1" t="inlineStr">
        <is>
          <t>MakeMeLook Widget — допущения</t>
        </is>
      </c>
    </row>
    <row r="2">
      <c r="A2" s="2" t="inlineStr">
        <is>
          <t>Жёлтые ячейки — редактируйте. Всё остальное считается формулами.</t>
        </is>
      </c>
    </row>
    <row r="4">
      <c r="A4" s="3" t="inlineStr">
        <is>
          <t>Параметр</t>
        </is>
      </c>
      <c r="B4" s="3" t="inlineStr">
        <is>
          <t>Значение</t>
        </is>
      </c>
      <c r="C4" s="3" t="inlineStr">
        <is>
          <t>Ед.</t>
        </is>
      </c>
      <c r="D4" s="3" t="inlineStr">
        <is>
          <t>Обоснование / источник</t>
        </is>
      </c>
    </row>
    <row r="5">
      <c r="A5" s="4" t="inlineStr">
        <is>
          <t>ЦЕНЫ И КУРС</t>
        </is>
      </c>
      <c r="B5" s="5" t="n"/>
      <c r="C5" s="5" t="n"/>
      <c r="D5" s="5" t="n"/>
    </row>
    <row r="6">
      <c r="A6" s="6" t="inlineStr">
        <is>
          <t>Курс доллара</t>
        </is>
      </c>
      <c r="B6" s="7" t="n">
        <v>86</v>
      </c>
      <c r="C6" s="8" t="inlineStr">
        <is>
          <t>₽/$</t>
        </is>
      </c>
      <c r="D6" s="9" t="inlineStr">
        <is>
          <t>Задан 09.09.2026</t>
        </is>
      </c>
    </row>
    <row r="7">
      <c r="A7" s="6" t="inlineStr">
        <is>
          <t>Цена примерки</t>
        </is>
      </c>
      <c r="B7" s="10" t="n">
        <v>10</v>
      </c>
      <c r="C7" s="8" t="inlineStr">
        <is>
          <t>₽</t>
        </is>
      </c>
      <c r="D7" s="9" t="inlineStr">
        <is>
          <t>Сценарий</t>
        </is>
      </c>
    </row>
    <row r="8">
      <c r="A8" s="6" t="inlineStr">
        <is>
          <t>Setup fee (разовый при подключении)</t>
        </is>
      </c>
      <c r="B8" s="11" t="n">
        <v>30000</v>
      </c>
      <c r="C8" s="8" t="inlineStr">
        <is>
          <t>₽</t>
        </is>
      </c>
      <c r="D8" s="9" t="inlineStr">
        <is>
          <t>Сценарий</t>
        </is>
      </c>
    </row>
    <row r="9">
      <c r="A9" s="4" t="inlineStr">
        <is>
          <t>ПРИВЛЕЧЕНИЕ КЛИЕНТОВ</t>
        </is>
      </c>
      <c r="B9" s="5" t="n"/>
      <c r="C9" s="5" t="n"/>
      <c r="D9" s="5" t="n"/>
    </row>
    <row r="10">
      <c r="A10" s="6" t="inlineStr">
        <is>
          <t>Бюджет маркетинга старт</t>
        </is>
      </c>
      <c r="B10" s="7" t="n">
        <v>0</v>
      </c>
      <c r="C10" s="8" t="inlineStr">
        <is>
          <t>₽/мес</t>
        </is>
      </c>
      <c r="D10" s="9" t="inlineStr">
        <is>
          <t>Сейчас 0: холодная рассылка своими руками, платного трафика нет</t>
        </is>
      </c>
    </row>
    <row r="11">
      <c r="A11" s="6" t="inlineStr">
        <is>
          <t>Бюджет маркетинга целевой</t>
        </is>
      </c>
      <c r="B11" s="7" t="n">
        <v>0</v>
      </c>
      <c r="C11" s="8" t="inlineStr">
        <is>
          <t>₽/мес</t>
        </is>
      </c>
      <c r="D11" s="9" t="inlineStr">
        <is>
          <t>Поднимите, если решите закупать трафик</t>
        </is>
      </c>
    </row>
    <row r="12">
      <c r="A12" s="6" t="inlineStr">
        <is>
          <t>Месяцев до целевого бюджета</t>
        </is>
      </c>
      <c r="B12" s="12" t="n">
        <v>12</v>
      </c>
      <c r="C12" s="8" t="inlineStr">
        <is>
          <t>мес</t>
        </is>
      </c>
      <c r="D12" s="9" t="inlineStr">
        <is>
          <t>ДОПУЩЕНИЕ: линейный рост</t>
        </is>
      </c>
    </row>
    <row r="13">
      <c r="A13" s="6" t="inlineStr">
        <is>
          <t>Цена контакта (маркетинг)</t>
        </is>
      </c>
      <c r="B13" s="11" t="n">
        <v>3000</v>
      </c>
      <c r="C13" s="8" t="inlineStr">
        <is>
          <t>₽</t>
        </is>
      </c>
      <c r="D13" s="9" t="inlineStr">
        <is>
          <t>ДОПУЩЕНИЕ: нишевый B2B fashion</t>
        </is>
      </c>
    </row>
    <row r="14">
      <c r="A14" s="6" t="inlineStr">
        <is>
          <t>Контактов от исходящих на 1 сейлза</t>
        </is>
      </c>
      <c r="B14" s="12" t="n">
        <v>30</v>
      </c>
      <c r="C14" s="8" t="inlineStr">
        <is>
          <t>шт/мес</t>
        </is>
      </c>
      <c r="D14" s="9" t="inlineStr">
        <is>
          <t>ДОПУЩЕНИЕ: холодная рассылка, плейбук на 102 магазина</t>
        </is>
      </c>
    </row>
    <row r="15">
      <c r="A15" s="6" t="inlineStr">
        <is>
          <t>Конверсия контакт → интеграция</t>
        </is>
      </c>
      <c r="B15" s="13" t="n">
        <v>0.04</v>
      </c>
      <c r="C15" s="8" t="inlineStr">
        <is>
          <t>%</t>
        </is>
      </c>
      <c r="D15" s="9" t="inlineStr">
        <is>
          <t>ДОПУЩЕНИЕ: холодный B2B. НЕ ПРОВЕРЕНО на практике</t>
        </is>
      </c>
    </row>
    <row r="16">
      <c r="A16" s="6" t="inlineStr">
        <is>
          <t>Органика (входящие) в месяц</t>
        </is>
      </c>
      <c r="B16" s="12" t="n">
        <v>1</v>
      </c>
      <c r="C16" s="8" t="inlineStr">
        <is>
          <t>шт/мес</t>
        </is>
      </c>
      <c r="D16" s="9" t="inlineStr">
        <is>
          <t>ДОПУЩЕНИЕ: сарафан + сайт</t>
        </is>
      </c>
    </row>
    <row r="17">
      <c r="A17" s="6" t="inlineStr">
        <is>
          <t>Churn активных клиентов</t>
        </is>
      </c>
      <c r="B17" s="7" t="n">
        <v>0.04</v>
      </c>
      <c r="C17" s="8" t="inlineStr">
        <is>
          <t>%/мес</t>
        </is>
      </c>
      <c r="D17" s="9" t="inlineStr">
        <is>
          <t>ДОПУЩЕНИЕ: ~40% в год</t>
        </is>
      </c>
    </row>
    <row r="18">
      <c r="A18" s="4" t="inlineStr">
        <is>
          <t>ОБЪЁМ ПРИМЕРОК</t>
        </is>
      </c>
      <c r="B18" s="5" t="n"/>
      <c r="C18" s="5" t="n"/>
      <c r="D18" s="5" t="n"/>
    </row>
    <row r="19">
      <c r="A19" s="6" t="inlineStr">
        <is>
          <t>Примерок на клиента в 1-й месяц</t>
        </is>
      </c>
      <c r="B19" s="12" t="n">
        <v>1500</v>
      </c>
      <c r="C19" s="8" t="inlineStr">
        <is>
          <t>шт</t>
        </is>
      </c>
      <c r="D19" s="9" t="inlineStr">
        <is>
          <t>Ramp-up: магазин раскачивается не сразу</t>
        </is>
      </c>
    </row>
    <row r="20">
      <c r="A20" s="6" t="inlineStr">
        <is>
          <t>Примерок на зрелого клиента</t>
        </is>
      </c>
      <c r="B20" s="12" t="n">
        <v>4000</v>
      </c>
      <c r="C20" s="8" t="inlineStr">
        <is>
          <t>шт/мес</t>
        </is>
      </c>
      <c r="D20" s="9" t="inlineStr">
        <is>
          <t>ДАННЫЕ ВЛАДЕЛЬЦА: в среднем 3–5к на магазин</t>
        </is>
      </c>
    </row>
    <row r="21">
      <c r="A21" s="6" t="inlineStr">
        <is>
          <t>Месяцев до зрелости клиента</t>
        </is>
      </c>
      <c r="B21" s="12" t="n">
        <v>3</v>
      </c>
      <c r="C21" s="8" t="inlineStr">
        <is>
          <t>мес</t>
        </is>
      </c>
      <c r="D21" s="9" t="inlineStr">
        <is>
          <t>ДОПУЩЕНИЕ</t>
        </is>
      </c>
    </row>
    <row r="22">
      <c r="A22" s="4" t="inlineStr">
        <is>
          <t>СЕБЕСТОИМОСТЬ AI (замеры 09.09.2026)</t>
        </is>
      </c>
      <c r="B22" s="5" t="n"/>
      <c r="C22" s="5" t="n"/>
      <c r="D22" s="5" t="n"/>
    </row>
    <row r="23">
      <c r="A23" s="6" t="inlineStr">
        <is>
          <t>Input-токены</t>
        </is>
      </c>
      <c r="B23" s="7" t="n">
        <v>4</v>
      </c>
      <c r="C23" s="8" t="inlineStr">
        <is>
          <t>$/1M</t>
        </is>
      </c>
      <c r="D23" s="9" t="inlineStr">
        <is>
          <t>Прайс CometAPI gpt-image-2.5 (−20% от OpenAI)</t>
        </is>
      </c>
    </row>
    <row r="24">
      <c r="A24" s="6" t="inlineStr">
        <is>
          <t>Output-токены</t>
        </is>
      </c>
      <c r="B24" s="7" t="n">
        <v>24</v>
      </c>
      <c r="C24" s="8" t="inlineStr">
        <is>
          <t>$/1M</t>
        </is>
      </c>
      <c r="D24" s="9" t="inlineStr">
        <is>
          <t>Прайс CometAPI</t>
        </is>
      </c>
    </row>
    <row r="25">
      <c r="A25" s="6" t="inlineStr">
        <is>
          <t>Input-токенов: 1 вещь</t>
        </is>
      </c>
      <c r="B25" s="12" t="n">
        <v>3928</v>
      </c>
      <c r="C25" s="8" t="inlineStr">
        <is>
          <t>ток.</t>
        </is>
      </c>
      <c r="D25" s="9" t="inlineStr">
        <is>
          <t>ЗАМЕР на реальном запросе</t>
        </is>
      </c>
    </row>
    <row r="26">
      <c r="A26" s="6" t="inlineStr">
        <is>
          <t>Input-токенов за след. вещь</t>
        </is>
      </c>
      <c r="B26" s="12" t="n">
        <v>1869</v>
      </c>
      <c r="C26" s="8" t="inlineStr">
        <is>
          <t>ток.</t>
        </is>
      </c>
      <c r="D26" s="9" t="inlineStr">
        <is>
          <t>ЗАМЕР: (9535−3928)/3</t>
        </is>
      </c>
    </row>
    <row r="27">
      <c r="A27" s="6" t="inlineStr">
        <is>
          <t>Output-токенов на результат</t>
        </is>
      </c>
      <c r="B27" s="12" t="n">
        <v>1316</v>
      </c>
      <c r="C27" s="8" t="inlineStr">
        <is>
          <t>ток.</t>
        </is>
      </c>
      <c r="D27" s="9" t="inlineStr">
        <is>
          <t>1120 картинка + 196 текст</t>
        </is>
      </c>
    </row>
    <row r="28">
      <c r="A28" s="6" t="inlineStr">
        <is>
          <t>Средневзвеш. вещей в образе</t>
        </is>
      </c>
      <c r="B28" s="12" t="n">
        <v>1.24</v>
      </c>
      <c r="C28" s="8" t="inlineStr">
        <is>
          <t>шт</t>
        </is>
      </c>
      <c r="D28" s="9" t="inlineStr">
        <is>
          <t>ФАКТ из БД: 79,6/15,4/4,2/0,7% по 1-4 вещам</t>
        </is>
      </c>
    </row>
    <row r="29">
      <c r="A29" s="6" t="inlineStr">
        <is>
          <t>Доля лишних оплаченных попыток</t>
        </is>
      </c>
      <c r="B29" s="13" t="n">
        <v>0.195</v>
      </c>
      <c r="C29" s="8" t="inlineStr">
        <is>
          <t>%</t>
        </is>
      </c>
      <c r="D29" s="9" t="inlineStr">
        <is>
          <t>ФАКТ: (242 ошибки + 130 ретраев)/1903</t>
        </is>
      </c>
    </row>
    <row r="30">
      <c r="A30" s="6" t="inlineStr">
        <is>
          <t>Доля стоимости неуспешной попытки</t>
        </is>
      </c>
      <c r="B30" s="13" t="n">
        <v>0.36</v>
      </c>
      <c r="C30" s="8" t="inlineStr">
        <is>
          <t>%</t>
        </is>
      </c>
      <c r="D30" s="9" t="inlineStr">
        <is>
          <t>ДОПУЩЕНИЕ: биллится только input</t>
        </is>
      </c>
    </row>
    <row r="31">
      <c r="A31" s="6" t="inlineStr">
        <is>
          <t>Валидация фото: цена вызова</t>
        </is>
      </c>
      <c r="B31" s="10" t="n">
        <v>0.0134</v>
      </c>
      <c r="C31" s="8" t="inlineStr">
        <is>
          <t>₽</t>
        </is>
      </c>
      <c r="D31" s="9" t="inlineStr">
        <is>
          <t>Расчёт: 1700 in + 60 out по $0,08/$0,32 за 1M</t>
        </is>
      </c>
    </row>
    <row r="32">
      <c r="A32" s="6" t="inlineStr">
        <is>
          <t>Примерок на 1 загруженное фото</t>
        </is>
      </c>
      <c r="B32" s="12" t="n">
        <v>3.08</v>
      </c>
      <c r="C32" s="8" t="inlineStr">
        <is>
          <t>шт</t>
        </is>
      </c>
      <c r="D32" s="9" t="inlineStr">
        <is>
          <t>ФАКТ: 2145/697</t>
        </is>
      </c>
    </row>
    <row r="33">
      <c r="A33" s="6" t="inlineStr">
        <is>
          <t>Хранение на примерку</t>
        </is>
      </c>
      <c r="B33" s="10" t="n">
        <v>0.0089</v>
      </c>
      <c r="C33" s="8" t="inlineStr">
        <is>
          <t>₽</t>
        </is>
      </c>
      <c r="D33" s="9" t="inlineStr">
        <is>
          <t>0,76 МБ × ₽4,09/ГБ × 3 мес × 3 (бэкапы)</t>
        </is>
      </c>
    </row>
    <row r="34">
      <c r="A34" s="4" t="inlineStr">
        <is>
          <t>ОБСЛУЖИВАНИЕ КЛИЕНТА</t>
        </is>
      </c>
      <c r="B34" s="5" t="n"/>
      <c r="C34" s="5" t="n"/>
      <c r="D34" s="5" t="n"/>
    </row>
    <row r="35">
      <c r="A35" s="6" t="inlineStr">
        <is>
          <t>Онбординг нового клиента</t>
        </is>
      </c>
      <c r="B35" s="10" t="n">
        <v>0</v>
      </c>
      <c r="C35" s="8" t="inlineStr">
        <is>
          <t>₽</t>
        </is>
      </c>
      <c r="D35" s="9" t="inlineStr">
        <is>
          <t>0 = делаете сами, деньгами не платите. Впишите, если наймёте</t>
        </is>
      </c>
    </row>
    <row r="36">
      <c r="A36" s="6" t="inlineStr">
        <is>
          <t>Поддержка активного клиента</t>
        </is>
      </c>
      <c r="B36" s="7" t="n">
        <v>0</v>
      </c>
      <c r="C36" s="8" t="inlineStr">
        <is>
          <t>₽/мес</t>
        </is>
      </c>
      <c r="D36" s="9" t="inlineStr">
        <is>
          <t>0 = делаете сами. Впишите, если наймёте</t>
        </is>
      </c>
    </row>
    <row r="37">
      <c r="A37" s="6" t="inlineStr">
        <is>
          <t>Комиссия эквайринга</t>
        </is>
      </c>
      <c r="B37" s="13" t="n">
        <v>0.02</v>
      </c>
      <c r="C37" s="8" t="inlineStr">
        <is>
          <t>%</t>
        </is>
      </c>
      <c r="D37" s="9" t="inlineStr">
        <is>
          <t>ДОПУЩЕНИЕ: 2%; по счёту = 0</t>
        </is>
      </c>
    </row>
    <row r="38">
      <c r="A38" s="4" t="inlineStr">
        <is>
          <t>OPEX</t>
        </is>
      </c>
      <c r="B38" s="5" t="n"/>
      <c r="C38" s="5" t="n"/>
      <c r="D38" s="5" t="n"/>
    </row>
    <row r="39">
      <c r="A39" s="6" t="inlineStr">
        <is>
          <t>Сервисы IT / инфра</t>
        </is>
      </c>
      <c r="B39" s="11" t="n">
        <v>5000</v>
      </c>
      <c r="C39" s="8" t="inlineStr">
        <is>
          <t>₽/мес</t>
        </is>
      </c>
      <c r="D39" s="9" t="inlineStr">
        <is>
          <t>Реальная доля Hetzner (~15% от €40) + домены</t>
        </is>
      </c>
    </row>
    <row r="40">
      <c r="A40" s="6" t="inlineStr">
        <is>
          <t>Рост IT-расходов</t>
        </is>
      </c>
      <c r="B40" s="7" t="n">
        <v>0.05</v>
      </c>
      <c r="C40" s="8" t="inlineStr">
        <is>
          <t>%/мес</t>
        </is>
      </c>
      <c r="D40" s="9" t="inlineStr">
        <is>
          <t>ДОПУЩЕНИЕ</t>
        </is>
      </c>
    </row>
    <row r="41">
      <c r="A41" s="6" t="inlineStr">
        <is>
          <t>Бухгалтерия / юрист</t>
        </is>
      </c>
      <c r="B41" s="11" t="n">
        <v>15000</v>
      </c>
      <c r="C41" s="8" t="inlineStr">
        <is>
          <t>₽/мес</t>
        </is>
      </c>
      <c r="D41" s="9" t="inlineStr">
        <is>
          <t>Обслуживание ООО. Разовый юрист по 152-ФЗ — отдельно</t>
        </is>
      </c>
    </row>
    <row r="42">
      <c r="A42" s="6" t="inlineStr">
        <is>
          <t>Прочие (% выручки)</t>
        </is>
      </c>
      <c r="B42" s="13" t="n">
        <v>0.02</v>
      </c>
      <c r="C42" s="8" t="inlineStr">
        <is>
          <t>%</t>
        </is>
      </c>
      <c r="D42" s="9" t="inlineStr">
        <is>
          <t>ДОПУЩЕНИЕ: мелочи, комиссии, сервисы</t>
        </is>
      </c>
    </row>
    <row r="43">
      <c r="A43" s="6" t="inlineStr">
        <is>
          <t>Резерв непредвиденных (% OPEX)</t>
        </is>
      </c>
      <c r="B43" s="13" t="n">
        <v>0.1</v>
      </c>
      <c r="C43" s="8" t="inlineStr">
        <is>
          <t>%</t>
        </is>
      </c>
      <c r="D43" s="9" t="inlineStr">
        <is>
          <t>ДОПУЩЕНИЕ: буфер</t>
        </is>
      </c>
    </row>
    <row r="44">
      <c r="A44" s="4" t="inlineStr">
        <is>
          <t>НАЛОГИ И КЭШ</t>
        </is>
      </c>
      <c r="B44" s="5" t="n"/>
      <c r="C44" s="5" t="n"/>
      <c r="D44" s="5" t="n"/>
    </row>
    <row r="45">
      <c r="A45" s="6" t="inlineStr">
        <is>
          <t>УСН «Доходы»</t>
        </is>
      </c>
      <c r="B45" s="13" t="n">
        <v>0.06</v>
      </c>
      <c r="C45" s="8" t="inlineStr">
        <is>
          <t>%</t>
        </is>
      </c>
      <c r="D45" s="9" t="inlineStr">
        <is>
          <t>Выгоднее 15%: затраты &lt;60% выручки</t>
        </is>
      </c>
    </row>
    <row r="46">
      <c r="A46" s="6" t="inlineStr">
        <is>
          <t>Налоги на ФОТ</t>
        </is>
      </c>
      <c r="B46" s="13" t="n">
        <v>0.302</v>
      </c>
      <c r="C46" s="8" t="inlineStr">
        <is>
          <t>%</t>
        </is>
      </c>
      <c r="D46" s="9" t="inlineStr">
        <is>
          <t>Стандарт РФ</t>
        </is>
      </c>
    </row>
    <row r="47">
      <c r="A47" s="6" t="inlineStr">
        <is>
          <t>Стартовый остаток ДС</t>
        </is>
      </c>
      <c r="B47" s="11" t="n">
        <v>500000</v>
      </c>
      <c r="C47" s="8" t="inlineStr">
        <is>
          <t>₽</t>
        </is>
      </c>
      <c r="D47" s="9" t="inlineStr">
        <is>
          <t>ДОПУЩЕНИЕ: отредактируйте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2" customWidth="1" min="4" max="4"/>
    <col width="42" customWidth="1" min="5" max="5"/>
  </cols>
  <sheetData>
    <row r="1">
      <c r="A1" s="1" t="inlineStr">
        <is>
          <t>План найма</t>
        </is>
      </c>
    </row>
    <row r="2">
      <c r="A2" s="2" t="inlineStr">
        <is>
          <t>Оклад gross. «Месяц найма» — с какого месяца человек в ФОТ. Пусто = не нанят.</t>
        </is>
      </c>
    </row>
    <row r="4">
      <c r="A4" s="3" t="inlineStr">
        <is>
          <t>Роль</t>
        </is>
      </c>
      <c r="B4" s="3" t="inlineStr">
        <is>
          <t>Оклад gross, ₽</t>
        </is>
      </c>
      <c r="C4" s="3" t="inlineStr">
        <is>
          <t>Месяц найма</t>
        </is>
      </c>
      <c r="D4" s="3" t="inlineStr">
        <is>
          <t>Сейлз (1/0)</t>
        </is>
      </c>
      <c r="E4" s="3" t="inlineStr">
        <is>
          <t>Комментарий</t>
        </is>
      </c>
    </row>
    <row r="5">
      <c r="A5" s="6" t="inlineStr">
        <is>
          <t>Фаундер (вы)</t>
        </is>
      </c>
      <c r="B5" s="11" t="n">
        <v>0</v>
      </c>
      <c r="C5" s="12" t="n">
        <v>1</v>
      </c>
      <c r="D5" s="12" t="n">
        <v>1</v>
      </c>
      <c r="E5" s="14" t="inlineStr">
        <is>
          <t>Зарплату не берёте. Считаетесь как 1 сейлз для воронки</t>
        </is>
      </c>
    </row>
    <row r="6">
      <c r="A6" s="6" t="inlineStr">
        <is>
          <t>Найм #1 (напр. сейлз)</t>
        </is>
      </c>
      <c r="B6" s="11" t="n">
        <v>90000</v>
      </c>
      <c r="C6" s="12" t="n"/>
      <c r="D6" s="12" t="n">
        <v>1</v>
      </c>
      <c r="E6" s="14" t="inlineStr">
        <is>
          <t>Пусто в «Месяц найма» = не нанят. Впишите месяц, когда потянете</t>
        </is>
      </c>
    </row>
    <row r="7">
      <c r="A7" s="6" t="inlineStr">
        <is>
          <t>Найм #2 (напр. поддержка)</t>
        </is>
      </c>
      <c r="B7" s="11" t="n">
        <v>70000</v>
      </c>
      <c r="C7" s="12" t="n"/>
      <c r="D7" s="12" t="n">
        <v>0</v>
      </c>
      <c r="E7" s="14" t="inlineStr">
        <is>
          <t>Пусто = не нанят</t>
        </is>
      </c>
    </row>
    <row r="8">
      <c r="A8" s="6" t="inlineStr">
        <is>
          <t>Найм #3</t>
        </is>
      </c>
      <c r="B8" s="11" t="n">
        <v>0</v>
      </c>
      <c r="C8" s="12" t="n"/>
      <c r="D8" s="12" t="n">
        <v>0</v>
      </c>
      <c r="E8" s="14" t="inlineStr">
        <is>
          <t>Резерв</t>
        </is>
      </c>
    </row>
    <row r="9">
      <c r="A9" s="6" t="inlineStr">
        <is>
          <t>Найм #4</t>
        </is>
      </c>
      <c r="B9" s="11" t="n">
        <v>0</v>
      </c>
      <c r="C9" s="12" t="n"/>
      <c r="D9" s="12" t="n">
        <v>0</v>
      </c>
      <c r="E9" s="14" t="inlineStr">
        <is>
          <t>Резерв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3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5" customWidth="1" min="14" max="14"/>
  </cols>
  <sheetData>
    <row r="1">
      <c r="A1" s="1" t="inlineStr">
        <is>
          <t>Финансовая модель по месяцам — 12 месяцев</t>
        </is>
      </c>
    </row>
    <row r="3">
      <c r="A3" s="15" t="inlineStr">
        <is>
          <t>Месяц</t>
        </is>
      </c>
      <c r="B3" s="3" t="inlineStr">
        <is>
          <t>Сен'26</t>
        </is>
      </c>
      <c r="C3" s="3" t="inlineStr">
        <is>
          <t>Окт'26</t>
        </is>
      </c>
      <c r="D3" s="3" t="inlineStr">
        <is>
          <t>Ноя'26</t>
        </is>
      </c>
      <c r="E3" s="3" t="inlineStr">
        <is>
          <t>Дек'26</t>
        </is>
      </c>
      <c r="F3" s="3" t="inlineStr">
        <is>
          <t>Янв'27</t>
        </is>
      </c>
      <c r="G3" s="3" t="inlineStr">
        <is>
          <t>Фев'27</t>
        </is>
      </c>
      <c r="H3" s="3" t="inlineStr">
        <is>
          <t>Мар'27</t>
        </is>
      </c>
      <c r="I3" s="3" t="inlineStr">
        <is>
          <t>Апр'27</t>
        </is>
      </c>
      <c r="J3" s="3" t="inlineStr">
        <is>
          <t>Май'27</t>
        </is>
      </c>
      <c r="K3" s="3" t="inlineStr">
        <is>
          <t>Июн'27</t>
        </is>
      </c>
      <c r="L3" s="3" t="inlineStr">
        <is>
          <t>Июл'27</t>
        </is>
      </c>
      <c r="M3" s="3" t="inlineStr">
        <is>
          <t>Авг'27</t>
        </is>
      </c>
      <c r="N3" s="3" t="inlineStr">
        <is>
          <t>ИТОГО / ИТОГ</t>
        </is>
      </c>
    </row>
    <row r="4">
      <c r="A4" s="8" t="inlineStr">
        <is>
          <t>№ месяца</t>
        </is>
      </c>
      <c r="B4" s="16" t="n">
        <v>1</v>
      </c>
      <c r="C4" s="16" t="n">
        <v>2</v>
      </c>
      <c r="D4" s="16" t="n">
        <v>3</v>
      </c>
      <c r="E4" s="16" t="n">
        <v>4</v>
      </c>
      <c r="F4" s="16" t="n">
        <v>5</v>
      </c>
      <c r="G4" s="16" t="n">
        <v>6</v>
      </c>
      <c r="H4" s="16" t="n">
        <v>7</v>
      </c>
      <c r="I4" s="16" t="n">
        <v>8</v>
      </c>
      <c r="J4" s="16" t="n">
        <v>9</v>
      </c>
      <c r="K4" s="16" t="n">
        <v>10</v>
      </c>
      <c r="L4" s="16" t="n">
        <v>11</v>
      </c>
      <c r="M4" s="16" t="n">
        <v>12</v>
      </c>
    </row>
    <row r="5">
      <c r="A5" s="8" t="inlineStr">
        <is>
          <t>Сезонность</t>
        </is>
      </c>
      <c r="B5" s="17" t="n">
        <v>1</v>
      </c>
      <c r="C5" s="17" t="n">
        <v>1.05</v>
      </c>
      <c r="D5" s="17" t="n">
        <v>1.05</v>
      </c>
      <c r="E5" s="17" t="n">
        <v>0.95</v>
      </c>
      <c r="F5" s="17" t="n">
        <v>0.6</v>
      </c>
      <c r="G5" s="17" t="n">
        <v>0.85</v>
      </c>
      <c r="H5" s="17" t="n">
        <v>1</v>
      </c>
      <c r="I5" s="17" t="n">
        <v>1</v>
      </c>
      <c r="J5" s="17" t="n">
        <v>1.05</v>
      </c>
      <c r="K5" s="17" t="n">
        <v>0.95</v>
      </c>
      <c r="L5" s="17" t="n">
        <v>0.8</v>
      </c>
      <c r="M5" s="17" t="n">
        <v>0.85</v>
      </c>
    </row>
    <row r="7">
      <c r="A7" s="4" t="inlineStr">
        <is>
          <t>ПРИВЛЕЧЕНИЕ КЛИЕНТОВ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</row>
    <row r="8">
      <c r="A8" s="6" t="inlineStr">
        <is>
          <t>Бюджет маркетинга</t>
        </is>
      </c>
      <c r="B8" s="18">
        <f>MIN(Допущения!$B$10+(Допущения!$B$11-Допущения!$B$10)/Допущения!$B$12*(B4-1),Допущения!$B$11)</f>
        <v/>
      </c>
      <c r="C8" s="18">
        <f>MIN(Допущения!$B$10+(Допущения!$B$11-Допущения!$B$10)/Допущения!$B$12*(C4-1),Допущения!$B$11)</f>
        <v/>
      </c>
      <c r="D8" s="18">
        <f>MIN(Допущения!$B$10+(Допущения!$B$11-Допущения!$B$10)/Допущения!$B$12*(D4-1),Допущения!$B$11)</f>
        <v/>
      </c>
      <c r="E8" s="18">
        <f>MIN(Допущения!$B$10+(Допущения!$B$11-Допущения!$B$10)/Допущения!$B$12*(E4-1),Допущения!$B$11)</f>
        <v/>
      </c>
      <c r="F8" s="18">
        <f>MIN(Допущения!$B$10+(Допущения!$B$11-Допущения!$B$10)/Допущения!$B$12*(F4-1),Допущения!$B$11)</f>
        <v/>
      </c>
      <c r="G8" s="18">
        <f>MIN(Допущения!$B$10+(Допущения!$B$11-Допущения!$B$10)/Допущения!$B$12*(G4-1),Допущения!$B$11)</f>
        <v/>
      </c>
      <c r="H8" s="18">
        <f>MIN(Допущения!$B$10+(Допущения!$B$11-Допущения!$B$10)/Допущения!$B$12*(H4-1),Допущения!$B$11)</f>
        <v/>
      </c>
      <c r="I8" s="18">
        <f>MIN(Допущения!$B$10+(Допущения!$B$11-Допущения!$B$10)/Допущения!$B$12*(I4-1),Допущения!$B$11)</f>
        <v/>
      </c>
      <c r="J8" s="18">
        <f>MIN(Допущения!$B$10+(Допущения!$B$11-Допущения!$B$10)/Допущения!$B$12*(J4-1),Допущения!$B$11)</f>
        <v/>
      </c>
      <c r="K8" s="18">
        <f>MIN(Допущения!$B$10+(Допущения!$B$11-Допущения!$B$10)/Допущения!$B$12*(K4-1),Допущения!$B$11)</f>
        <v/>
      </c>
      <c r="L8" s="18">
        <f>MIN(Допущения!$B$10+(Допущения!$B$11-Допущения!$B$10)/Допущения!$B$12*(L4-1),Допущения!$B$11)</f>
        <v/>
      </c>
      <c r="M8" s="18">
        <f>MIN(Допущения!$B$10+(Допущения!$B$11-Допущения!$B$10)/Допущения!$B$12*(M4-1),Допущения!$B$11)</f>
        <v/>
      </c>
      <c r="N8" s="19">
        <f>SUM(B8:M8)</f>
        <v/>
      </c>
    </row>
    <row r="9">
      <c r="A9" s="6" t="inlineStr">
        <is>
          <t>Контактов от маркетинга</t>
        </is>
      </c>
      <c r="B9" s="20">
        <f>ROUND(B8/Допущения!$B$13,0)</f>
        <v/>
      </c>
      <c r="C9" s="20">
        <f>ROUND(C8/Допущения!$B$13,0)</f>
        <v/>
      </c>
      <c r="D9" s="20">
        <f>ROUND(D8/Допущения!$B$13,0)</f>
        <v/>
      </c>
      <c r="E9" s="20">
        <f>ROUND(E8/Допущения!$B$13,0)</f>
        <v/>
      </c>
      <c r="F9" s="20">
        <f>ROUND(F8/Допущения!$B$13,0)</f>
        <v/>
      </c>
      <c r="G9" s="20">
        <f>ROUND(G8/Допущения!$B$13,0)</f>
        <v/>
      </c>
      <c r="H9" s="20">
        <f>ROUND(H8/Допущения!$B$13,0)</f>
        <v/>
      </c>
      <c r="I9" s="20">
        <f>ROUND(I8/Допущения!$B$13,0)</f>
        <v/>
      </c>
      <c r="J9" s="20">
        <f>ROUND(J8/Допущения!$B$13,0)</f>
        <v/>
      </c>
      <c r="K9" s="20">
        <f>ROUND(K8/Допущения!$B$13,0)</f>
        <v/>
      </c>
      <c r="L9" s="20">
        <f>ROUND(L8/Допущения!$B$13,0)</f>
        <v/>
      </c>
      <c r="M9" s="20">
        <f>ROUND(M8/Допущения!$B$13,0)</f>
        <v/>
      </c>
      <c r="N9" s="21">
        <f>SUM(B9:M9)</f>
        <v/>
      </c>
    </row>
    <row r="10">
      <c r="A10" s="6" t="inlineStr">
        <is>
          <t>Контактов от исходящих</t>
        </is>
      </c>
      <c r="B10" s="20">
        <f>ROUND(SUMPRODUCT((ISNUMBER('Команда'!$C$5:$C$9))*('Команда'!$C$5:$C$9&lt;=B4)*'Команда'!$D$5:$D$9)*Допущения!$B$14,0)</f>
        <v/>
      </c>
      <c r="C10" s="20">
        <f>ROUND(SUMPRODUCT((ISNUMBER('Команда'!$C$5:$C$9))*('Команда'!$C$5:$C$9&lt;=C4)*'Команда'!$D$5:$D$9)*Допущения!$B$14,0)</f>
        <v/>
      </c>
      <c r="D10" s="20">
        <f>ROUND(SUMPRODUCT((ISNUMBER('Команда'!$C$5:$C$9))*('Команда'!$C$5:$C$9&lt;=D4)*'Команда'!$D$5:$D$9)*Допущения!$B$14,0)</f>
        <v/>
      </c>
      <c r="E10" s="20">
        <f>ROUND(SUMPRODUCT((ISNUMBER('Команда'!$C$5:$C$9))*('Команда'!$C$5:$C$9&lt;=E4)*'Команда'!$D$5:$D$9)*Допущения!$B$14,0)</f>
        <v/>
      </c>
      <c r="F10" s="20">
        <f>ROUND(SUMPRODUCT((ISNUMBER('Команда'!$C$5:$C$9))*('Команда'!$C$5:$C$9&lt;=F4)*'Команда'!$D$5:$D$9)*Допущения!$B$14,0)</f>
        <v/>
      </c>
      <c r="G10" s="20">
        <f>ROUND(SUMPRODUCT((ISNUMBER('Команда'!$C$5:$C$9))*('Команда'!$C$5:$C$9&lt;=G4)*'Команда'!$D$5:$D$9)*Допущения!$B$14,0)</f>
        <v/>
      </c>
      <c r="H10" s="20">
        <f>ROUND(SUMPRODUCT((ISNUMBER('Команда'!$C$5:$C$9))*('Команда'!$C$5:$C$9&lt;=H4)*'Команда'!$D$5:$D$9)*Допущения!$B$14,0)</f>
        <v/>
      </c>
      <c r="I10" s="20">
        <f>ROUND(SUMPRODUCT((ISNUMBER('Команда'!$C$5:$C$9))*('Команда'!$C$5:$C$9&lt;=I4)*'Команда'!$D$5:$D$9)*Допущения!$B$14,0)</f>
        <v/>
      </c>
      <c r="J10" s="20">
        <f>ROUND(SUMPRODUCT((ISNUMBER('Команда'!$C$5:$C$9))*('Команда'!$C$5:$C$9&lt;=J4)*'Команда'!$D$5:$D$9)*Допущения!$B$14,0)</f>
        <v/>
      </c>
      <c r="K10" s="20">
        <f>ROUND(SUMPRODUCT((ISNUMBER('Команда'!$C$5:$C$9))*('Команда'!$C$5:$C$9&lt;=K4)*'Команда'!$D$5:$D$9)*Допущения!$B$14,0)</f>
        <v/>
      </c>
      <c r="L10" s="20">
        <f>ROUND(SUMPRODUCT((ISNUMBER('Команда'!$C$5:$C$9))*('Команда'!$C$5:$C$9&lt;=L4)*'Команда'!$D$5:$D$9)*Допущения!$B$14,0)</f>
        <v/>
      </c>
      <c r="M10" s="20">
        <f>ROUND(SUMPRODUCT((ISNUMBER('Команда'!$C$5:$C$9))*('Команда'!$C$5:$C$9&lt;=M4)*'Команда'!$D$5:$D$9)*Допущения!$B$14,0)</f>
        <v/>
      </c>
      <c r="N10" s="21">
        <f>SUM(B10:M10)</f>
        <v/>
      </c>
    </row>
    <row r="11">
      <c r="A11" s="6" t="inlineStr">
        <is>
          <t>Всего контактов</t>
        </is>
      </c>
      <c r="B11" s="20">
        <f>B9+B10</f>
        <v/>
      </c>
      <c r="C11" s="20">
        <f>C9+C10</f>
        <v/>
      </c>
      <c r="D11" s="20">
        <f>D9+D10</f>
        <v/>
      </c>
      <c r="E11" s="20">
        <f>E9+E10</f>
        <v/>
      </c>
      <c r="F11" s="20">
        <f>F9+F10</f>
        <v/>
      </c>
      <c r="G11" s="20">
        <f>G9+G10</f>
        <v/>
      </c>
      <c r="H11" s="20">
        <f>H9+H10</f>
        <v/>
      </c>
      <c r="I11" s="20">
        <f>I9+I10</f>
        <v/>
      </c>
      <c r="J11" s="20">
        <f>J9+J10</f>
        <v/>
      </c>
      <c r="K11" s="20">
        <f>K9+K10</f>
        <v/>
      </c>
      <c r="L11" s="20">
        <f>L9+L10</f>
        <v/>
      </c>
      <c r="M11" s="20">
        <f>M9+M10</f>
        <v/>
      </c>
      <c r="N11" s="21">
        <f>SUM(B11:M11)</f>
        <v/>
      </c>
    </row>
    <row r="12">
      <c r="A12" s="6" t="inlineStr">
        <is>
          <t>Новых интеграций</t>
        </is>
      </c>
      <c r="B12" s="20">
        <f>ROUND(B11*Допущения!$B$15,0)+Допущения!$B$16</f>
        <v/>
      </c>
      <c r="C12" s="20">
        <f>ROUND(C11*Допущения!$B$15,0)+Допущения!$B$16</f>
        <v/>
      </c>
      <c r="D12" s="20">
        <f>ROUND(D11*Допущения!$B$15,0)+Допущения!$B$16</f>
        <v/>
      </c>
      <c r="E12" s="20">
        <f>ROUND(E11*Допущения!$B$15,0)+Допущения!$B$16</f>
        <v/>
      </c>
      <c r="F12" s="20">
        <f>ROUND(F11*Допущения!$B$15,0)+Допущения!$B$16</f>
        <v/>
      </c>
      <c r="G12" s="20">
        <f>ROUND(G11*Допущения!$B$15,0)+Допущения!$B$16</f>
        <v/>
      </c>
      <c r="H12" s="20">
        <f>ROUND(H11*Допущения!$B$15,0)+Допущения!$B$16</f>
        <v/>
      </c>
      <c r="I12" s="20">
        <f>ROUND(I11*Допущения!$B$15,0)+Допущения!$B$16</f>
        <v/>
      </c>
      <c r="J12" s="20">
        <f>ROUND(J11*Допущения!$B$15,0)+Допущения!$B$16</f>
        <v/>
      </c>
      <c r="K12" s="20">
        <f>ROUND(K11*Допущения!$B$15,0)+Допущения!$B$16</f>
        <v/>
      </c>
      <c r="L12" s="20">
        <f>ROUND(L11*Допущения!$B$15,0)+Допущения!$B$16</f>
        <v/>
      </c>
      <c r="M12" s="20">
        <f>ROUND(M11*Допущения!$B$15,0)+Допущения!$B$16</f>
        <v/>
      </c>
      <c r="N12" s="21">
        <f>SUM(B12:M12)</f>
        <v/>
      </c>
    </row>
    <row r="13">
      <c r="A13" s="6" t="inlineStr">
        <is>
          <t>Отток</t>
        </is>
      </c>
      <c r="B13" s="20">
        <f>0</f>
        <v/>
      </c>
      <c r="C13" s="20">
        <f>-ROUND(B14*Допущения!$B$17,0)</f>
        <v/>
      </c>
      <c r="D13" s="20">
        <f>-ROUND(C14*Допущения!$B$17,0)</f>
        <v/>
      </c>
      <c r="E13" s="20">
        <f>-ROUND(D14*Допущения!$B$17,0)</f>
        <v/>
      </c>
      <c r="F13" s="20">
        <f>-ROUND(E14*Допущения!$B$17,0)</f>
        <v/>
      </c>
      <c r="G13" s="20">
        <f>-ROUND(F14*Допущения!$B$17,0)</f>
        <v/>
      </c>
      <c r="H13" s="20">
        <f>-ROUND(G14*Допущения!$B$17,0)</f>
        <v/>
      </c>
      <c r="I13" s="20">
        <f>-ROUND(H14*Допущения!$B$17,0)</f>
        <v/>
      </c>
      <c r="J13" s="20">
        <f>-ROUND(I14*Допущения!$B$17,0)</f>
        <v/>
      </c>
      <c r="K13" s="20">
        <f>-ROUND(J14*Допущения!$B$17,0)</f>
        <v/>
      </c>
      <c r="L13" s="20">
        <f>-ROUND(K14*Допущения!$B$17,0)</f>
        <v/>
      </c>
      <c r="M13" s="20">
        <f>-ROUND(L14*Допущения!$B$17,0)</f>
        <v/>
      </c>
      <c r="N13" s="21">
        <f>SUM(B13:M13)</f>
        <v/>
      </c>
    </row>
    <row r="14">
      <c r="A14" s="22" t="inlineStr">
        <is>
          <t>Активных клиентов</t>
        </is>
      </c>
      <c r="B14" s="21">
        <f>B12</f>
        <v/>
      </c>
      <c r="C14" s="21">
        <f>B14+C12+C13</f>
        <v/>
      </c>
      <c r="D14" s="21">
        <f>C14+D12+D13</f>
        <v/>
      </c>
      <c r="E14" s="21">
        <f>D14+E12+E13</f>
        <v/>
      </c>
      <c r="F14" s="21">
        <f>E14+F12+F13</f>
        <v/>
      </c>
      <c r="G14" s="21">
        <f>F14+G12+G13</f>
        <v/>
      </c>
      <c r="H14" s="21">
        <f>G14+H12+H13</f>
        <v/>
      </c>
      <c r="I14" s="21">
        <f>H14+I12+I13</f>
        <v/>
      </c>
      <c r="J14" s="21">
        <f>I14+J12+J13</f>
        <v/>
      </c>
      <c r="K14" s="21">
        <f>J14+K12+K13</f>
        <v/>
      </c>
      <c r="L14" s="21">
        <f>K14+L12+L13</f>
        <v/>
      </c>
      <c r="M14" s="21">
        <f>L14+M12+M13</f>
        <v/>
      </c>
      <c r="N14" s="21">
        <f>M14</f>
        <v/>
      </c>
    </row>
    <row r="16">
      <c r="A16" s="4" t="inlineStr">
        <is>
          <t>ОБЪЁМ ПРИМЕРОК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</row>
    <row r="17">
      <c r="A17" s="6" t="inlineStr">
        <is>
          <t>Примерок на клиента/мес</t>
        </is>
      </c>
      <c r="B17" s="20">
        <f>ROUND(MIN(Допущения!$B$20,Допущения!$B$19+(Допущения!$B$20-Допущения!$B$19)/Допущения!$B$21*(B4-1))*B5,0)</f>
        <v/>
      </c>
      <c r="C17" s="20">
        <f>ROUND(MIN(Допущения!$B$20,Допущения!$B$19+(Допущения!$B$20-Допущения!$B$19)/Допущения!$B$21*(C4-1))*C5,0)</f>
        <v/>
      </c>
      <c r="D17" s="20">
        <f>ROUND(MIN(Допущения!$B$20,Допущения!$B$19+(Допущения!$B$20-Допущения!$B$19)/Допущения!$B$21*(D4-1))*D5,0)</f>
        <v/>
      </c>
      <c r="E17" s="20">
        <f>ROUND(MIN(Допущения!$B$20,Допущения!$B$19+(Допущения!$B$20-Допущения!$B$19)/Допущения!$B$21*(E4-1))*E5,0)</f>
        <v/>
      </c>
      <c r="F17" s="20">
        <f>ROUND(MIN(Допущения!$B$20,Допущения!$B$19+(Допущения!$B$20-Допущения!$B$19)/Допущения!$B$21*(F4-1))*F5,0)</f>
        <v/>
      </c>
      <c r="G17" s="20">
        <f>ROUND(MIN(Допущения!$B$20,Допущения!$B$19+(Допущения!$B$20-Допущения!$B$19)/Допущения!$B$21*(G4-1))*G5,0)</f>
        <v/>
      </c>
      <c r="H17" s="20">
        <f>ROUND(MIN(Допущения!$B$20,Допущения!$B$19+(Допущения!$B$20-Допущения!$B$19)/Допущения!$B$21*(H4-1))*H5,0)</f>
        <v/>
      </c>
      <c r="I17" s="20">
        <f>ROUND(MIN(Допущения!$B$20,Допущения!$B$19+(Допущения!$B$20-Допущения!$B$19)/Допущения!$B$21*(I4-1))*I5,0)</f>
        <v/>
      </c>
      <c r="J17" s="20">
        <f>ROUND(MIN(Допущения!$B$20,Допущения!$B$19+(Допущения!$B$20-Допущения!$B$19)/Допущения!$B$21*(J4-1))*J5,0)</f>
        <v/>
      </c>
      <c r="K17" s="20">
        <f>ROUND(MIN(Допущения!$B$20,Допущения!$B$19+(Допущения!$B$20-Допущения!$B$19)/Допущения!$B$21*(K4-1))*K5,0)</f>
        <v/>
      </c>
      <c r="L17" s="20">
        <f>ROUND(MIN(Допущения!$B$20,Допущения!$B$19+(Допущения!$B$20-Допущения!$B$19)/Допущения!$B$21*(L4-1))*L5,0)</f>
        <v/>
      </c>
      <c r="M17" s="20">
        <f>ROUND(MIN(Допущения!$B$20,Допущения!$B$19+(Допущения!$B$20-Допущения!$B$19)/Допущения!$B$21*(M4-1))*M5,0)</f>
        <v/>
      </c>
      <c r="N17" s="21">
        <f>IFERROR(AVERAGE(B17:M17),0)</f>
        <v/>
      </c>
    </row>
    <row r="18">
      <c r="A18" s="22" t="inlineStr">
        <is>
          <t>Всего примерок</t>
        </is>
      </c>
      <c r="B18" s="23">
        <f>B14*B17</f>
        <v/>
      </c>
      <c r="C18" s="23">
        <f>C14*C17</f>
        <v/>
      </c>
      <c r="D18" s="23">
        <f>D14*D17</f>
        <v/>
      </c>
      <c r="E18" s="23">
        <f>E14*E17</f>
        <v/>
      </c>
      <c r="F18" s="23">
        <f>F14*F17</f>
        <v/>
      </c>
      <c r="G18" s="23">
        <f>G14*G17</f>
        <v/>
      </c>
      <c r="H18" s="23">
        <f>H14*H17</f>
        <v/>
      </c>
      <c r="I18" s="23">
        <f>I14*I17</f>
        <v/>
      </c>
      <c r="J18" s="23">
        <f>J14*J17</f>
        <v/>
      </c>
      <c r="K18" s="23">
        <f>K14*K17</f>
        <v/>
      </c>
      <c r="L18" s="23">
        <f>L14*L17</f>
        <v/>
      </c>
      <c r="M18" s="23">
        <f>M14*M17</f>
        <v/>
      </c>
      <c r="N18" s="21">
        <f>SUM(B18:M18)</f>
        <v/>
      </c>
    </row>
    <row r="20">
      <c r="A20" s="4" t="inlineStr">
        <is>
          <t>ВЫРУЧКА</t>
        </is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</row>
    <row r="21">
      <c r="A21" s="6" t="inlineStr">
        <is>
          <t>Setup fee (новые клиенты)</t>
        </is>
      </c>
      <c r="B21" s="18">
        <f>B12*Допущения!$B$8</f>
        <v/>
      </c>
      <c r="C21" s="18">
        <f>C12*Допущения!$B$8</f>
        <v/>
      </c>
      <c r="D21" s="18">
        <f>D12*Допущения!$B$8</f>
        <v/>
      </c>
      <c r="E21" s="18">
        <f>E12*Допущения!$B$8</f>
        <v/>
      </c>
      <c r="F21" s="18">
        <f>F12*Допущения!$B$8</f>
        <v/>
      </c>
      <c r="G21" s="18">
        <f>G12*Допущения!$B$8</f>
        <v/>
      </c>
      <c r="H21" s="18">
        <f>H12*Допущения!$B$8</f>
        <v/>
      </c>
      <c r="I21" s="18">
        <f>I12*Допущения!$B$8</f>
        <v/>
      </c>
      <c r="J21" s="18">
        <f>J12*Допущения!$B$8</f>
        <v/>
      </c>
      <c r="K21" s="18">
        <f>K12*Допущения!$B$8</f>
        <v/>
      </c>
      <c r="L21" s="18">
        <f>L12*Допущения!$B$8</f>
        <v/>
      </c>
      <c r="M21" s="18">
        <f>M12*Допущения!$B$8</f>
        <v/>
      </c>
      <c r="N21" s="19">
        <f>SUM(B21:M21)</f>
        <v/>
      </c>
    </row>
    <row r="22">
      <c r="A22" s="6" t="inlineStr">
        <is>
          <t>Выручка с примерок</t>
        </is>
      </c>
      <c r="B22" s="18">
        <f>B18*Допущения!$B$7</f>
        <v/>
      </c>
      <c r="C22" s="18">
        <f>C18*Допущения!$B$7</f>
        <v/>
      </c>
      <c r="D22" s="18">
        <f>D18*Допущения!$B$7</f>
        <v/>
      </c>
      <c r="E22" s="18">
        <f>E18*Допущения!$B$7</f>
        <v/>
      </c>
      <c r="F22" s="18">
        <f>F18*Допущения!$B$7</f>
        <v/>
      </c>
      <c r="G22" s="18">
        <f>G18*Допущения!$B$7</f>
        <v/>
      </c>
      <c r="H22" s="18">
        <f>H18*Допущения!$B$7</f>
        <v/>
      </c>
      <c r="I22" s="18">
        <f>I18*Допущения!$B$7</f>
        <v/>
      </c>
      <c r="J22" s="18">
        <f>J18*Допущения!$B$7</f>
        <v/>
      </c>
      <c r="K22" s="18">
        <f>K18*Допущения!$B$7</f>
        <v/>
      </c>
      <c r="L22" s="18">
        <f>L18*Допущения!$B$7</f>
        <v/>
      </c>
      <c r="M22" s="18">
        <f>M18*Допущения!$B$7</f>
        <v/>
      </c>
      <c r="N22" s="19">
        <f>SUM(B22:M22)</f>
        <v/>
      </c>
    </row>
    <row r="23">
      <c r="A23" s="22" t="inlineStr">
        <is>
          <t>ВЫРУЧКА ВСЕГО</t>
        </is>
      </c>
      <c r="B23" s="19">
        <f>B21+B22</f>
        <v/>
      </c>
      <c r="C23" s="19">
        <f>C21+C22</f>
        <v/>
      </c>
      <c r="D23" s="19">
        <f>D21+D22</f>
        <v/>
      </c>
      <c r="E23" s="19">
        <f>E21+E22</f>
        <v/>
      </c>
      <c r="F23" s="19">
        <f>F21+F22</f>
        <v/>
      </c>
      <c r="G23" s="19">
        <f>G21+G22</f>
        <v/>
      </c>
      <c r="H23" s="19">
        <f>H21+H22</f>
        <v/>
      </c>
      <c r="I23" s="19">
        <f>I21+I22</f>
        <v/>
      </c>
      <c r="J23" s="19">
        <f>J21+J22</f>
        <v/>
      </c>
      <c r="K23" s="19">
        <f>K21+K22</f>
        <v/>
      </c>
      <c r="L23" s="19">
        <f>L21+L22</f>
        <v/>
      </c>
      <c r="M23" s="19">
        <f>M21+M22</f>
        <v/>
      </c>
      <c r="N23" s="19">
        <f>SUM(B23:M23)</f>
        <v/>
      </c>
    </row>
    <row r="25">
      <c r="A25" s="4" t="inlineStr">
        <is>
          <t>СЕБЕСТОИМОСТЬ</t>
        </is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</row>
    <row r="26">
      <c r="A26" s="6" t="inlineStr">
        <is>
          <t>AI-генерация</t>
        </is>
      </c>
      <c r="B26" s="18">
        <f>-B18*((Допущения!$B$25+(Допущения!$B$28-1)*Допущения!$B$26)*Допущения!$B$23/1000000+Допущения!$B$27*Допущения!$B$24/1000000)*Допущения!$B$6</f>
        <v/>
      </c>
      <c r="C26" s="18">
        <f>-C18*((Допущения!$B$25+(Допущения!$B$28-1)*Допущения!$B$26)*Допущения!$B$23/1000000+Допущения!$B$27*Допущения!$B$24/1000000)*Допущения!$B$6</f>
        <v/>
      </c>
      <c r="D26" s="18">
        <f>-D18*((Допущения!$B$25+(Допущения!$B$28-1)*Допущения!$B$26)*Допущения!$B$23/1000000+Допущения!$B$27*Допущения!$B$24/1000000)*Допущения!$B$6</f>
        <v/>
      </c>
      <c r="E26" s="18">
        <f>-E18*((Допущения!$B$25+(Допущения!$B$28-1)*Допущения!$B$26)*Допущения!$B$23/1000000+Допущения!$B$27*Допущения!$B$24/1000000)*Допущения!$B$6</f>
        <v/>
      </c>
      <c r="F26" s="18">
        <f>-F18*((Допущения!$B$25+(Допущения!$B$28-1)*Допущения!$B$26)*Допущения!$B$23/1000000+Допущения!$B$27*Допущения!$B$24/1000000)*Допущения!$B$6</f>
        <v/>
      </c>
      <c r="G26" s="18">
        <f>-G18*((Допущения!$B$25+(Допущения!$B$28-1)*Допущения!$B$26)*Допущения!$B$23/1000000+Допущения!$B$27*Допущения!$B$24/1000000)*Допущения!$B$6</f>
        <v/>
      </c>
      <c r="H26" s="18">
        <f>-H18*((Допущения!$B$25+(Допущения!$B$28-1)*Допущения!$B$26)*Допущения!$B$23/1000000+Допущения!$B$27*Допущения!$B$24/1000000)*Допущения!$B$6</f>
        <v/>
      </c>
      <c r="I26" s="18">
        <f>-I18*((Допущения!$B$25+(Допущения!$B$28-1)*Допущения!$B$26)*Допущения!$B$23/1000000+Допущения!$B$27*Допущения!$B$24/1000000)*Допущения!$B$6</f>
        <v/>
      </c>
      <c r="J26" s="18">
        <f>-J18*((Допущения!$B$25+(Допущения!$B$28-1)*Допущения!$B$26)*Допущения!$B$23/1000000+Допущения!$B$27*Допущения!$B$24/1000000)*Допущения!$B$6</f>
        <v/>
      </c>
      <c r="K26" s="18">
        <f>-K18*((Допущения!$B$25+(Допущения!$B$28-1)*Допущения!$B$26)*Допущения!$B$23/1000000+Допущения!$B$27*Допущения!$B$24/1000000)*Допущения!$B$6</f>
        <v/>
      </c>
      <c r="L26" s="18">
        <f>-L18*((Допущения!$B$25+(Допущения!$B$28-1)*Допущения!$B$26)*Допущения!$B$23/1000000+Допущения!$B$27*Допущения!$B$24/1000000)*Допущения!$B$6</f>
        <v/>
      </c>
      <c r="M26" s="18">
        <f>-M18*((Допущения!$B$25+(Допущения!$B$28-1)*Допущения!$B$26)*Допущения!$B$23/1000000+Допущения!$B$27*Допущения!$B$24/1000000)*Допущения!$B$6</f>
        <v/>
      </c>
      <c r="N26" s="19">
        <f>SUM(B26:M26)</f>
        <v/>
      </c>
    </row>
    <row r="27">
      <c r="A27" s="6" t="inlineStr">
        <is>
          <t>Отказы и ретраи</t>
        </is>
      </c>
      <c r="B27" s="18">
        <f>B26*Допущения!$B$29*Допущения!$B$30</f>
        <v/>
      </c>
      <c r="C27" s="18">
        <f>C26*Допущения!$B$29*Допущения!$B$30</f>
        <v/>
      </c>
      <c r="D27" s="18">
        <f>D26*Допущения!$B$29*Допущения!$B$30</f>
        <v/>
      </c>
      <c r="E27" s="18">
        <f>E26*Допущения!$B$29*Допущения!$B$30</f>
        <v/>
      </c>
      <c r="F27" s="18">
        <f>F26*Допущения!$B$29*Допущения!$B$30</f>
        <v/>
      </c>
      <c r="G27" s="18">
        <f>G26*Допущения!$B$29*Допущения!$B$30</f>
        <v/>
      </c>
      <c r="H27" s="18">
        <f>H26*Допущения!$B$29*Допущения!$B$30</f>
        <v/>
      </c>
      <c r="I27" s="18">
        <f>I26*Допущения!$B$29*Допущения!$B$30</f>
        <v/>
      </c>
      <c r="J27" s="18">
        <f>J26*Допущения!$B$29*Допущения!$B$30</f>
        <v/>
      </c>
      <c r="K27" s="18">
        <f>K26*Допущения!$B$29*Допущения!$B$30</f>
        <v/>
      </c>
      <c r="L27" s="18">
        <f>L26*Допущения!$B$29*Допущения!$B$30</f>
        <v/>
      </c>
      <c r="M27" s="18">
        <f>M26*Допущения!$B$29*Допущения!$B$30</f>
        <v/>
      </c>
      <c r="N27" s="19">
        <f>SUM(B27:M27)</f>
        <v/>
      </c>
    </row>
    <row r="28">
      <c r="A28" s="6" t="inlineStr">
        <is>
          <t>Валидация фото</t>
        </is>
      </c>
      <c r="B28" s="18">
        <f>-B18*Допущения!$B$31*1.25/Допущения!$B$32</f>
        <v/>
      </c>
      <c r="C28" s="18">
        <f>-C18*Допущения!$B$31*1.25/Допущения!$B$32</f>
        <v/>
      </c>
      <c r="D28" s="18">
        <f>-D18*Допущения!$B$31*1.25/Допущения!$B$32</f>
        <v/>
      </c>
      <c r="E28" s="18">
        <f>-E18*Допущения!$B$31*1.25/Допущения!$B$32</f>
        <v/>
      </c>
      <c r="F28" s="18">
        <f>-F18*Допущения!$B$31*1.25/Допущения!$B$32</f>
        <v/>
      </c>
      <c r="G28" s="18">
        <f>-G18*Допущения!$B$31*1.25/Допущения!$B$32</f>
        <v/>
      </c>
      <c r="H28" s="18">
        <f>-H18*Допущения!$B$31*1.25/Допущения!$B$32</f>
        <v/>
      </c>
      <c r="I28" s="18">
        <f>-I18*Допущения!$B$31*1.25/Допущения!$B$32</f>
        <v/>
      </c>
      <c r="J28" s="18">
        <f>-J18*Допущения!$B$31*1.25/Допущения!$B$32</f>
        <v/>
      </c>
      <c r="K28" s="18">
        <f>-K18*Допущения!$B$31*1.25/Допущения!$B$32</f>
        <v/>
      </c>
      <c r="L28" s="18">
        <f>-L18*Допущения!$B$31*1.25/Допущения!$B$32</f>
        <v/>
      </c>
      <c r="M28" s="18">
        <f>-M18*Допущения!$B$31*1.25/Допущения!$B$32</f>
        <v/>
      </c>
      <c r="N28" s="19">
        <f>SUM(B28:M28)</f>
        <v/>
      </c>
    </row>
    <row r="29">
      <c r="A29" s="6" t="inlineStr">
        <is>
          <t>Хранение</t>
        </is>
      </c>
      <c r="B29" s="18">
        <f>-B18*Допущения!$B$33</f>
        <v/>
      </c>
      <c r="C29" s="18">
        <f>-C18*Допущения!$B$33</f>
        <v/>
      </c>
      <c r="D29" s="18">
        <f>-D18*Допущения!$B$33</f>
        <v/>
      </c>
      <c r="E29" s="18">
        <f>-E18*Допущения!$B$33</f>
        <v/>
      </c>
      <c r="F29" s="18">
        <f>-F18*Допущения!$B$33</f>
        <v/>
      </c>
      <c r="G29" s="18">
        <f>-G18*Допущения!$B$33</f>
        <v/>
      </c>
      <c r="H29" s="18">
        <f>-H18*Допущения!$B$33</f>
        <v/>
      </c>
      <c r="I29" s="18">
        <f>-I18*Допущения!$B$33</f>
        <v/>
      </c>
      <c r="J29" s="18">
        <f>-J18*Допущения!$B$33</f>
        <v/>
      </c>
      <c r="K29" s="18">
        <f>-K18*Допущения!$B$33</f>
        <v/>
      </c>
      <c r="L29" s="18">
        <f>-L18*Допущения!$B$33</f>
        <v/>
      </c>
      <c r="M29" s="18">
        <f>-M18*Допущения!$B$33</f>
        <v/>
      </c>
      <c r="N29" s="19">
        <f>SUM(B29:M29)</f>
        <v/>
      </c>
    </row>
    <row r="30">
      <c r="A30" s="6" t="inlineStr">
        <is>
          <t>Эквайринг</t>
        </is>
      </c>
      <c r="B30" s="18">
        <f>-B23*Допущения!$B$37</f>
        <v/>
      </c>
      <c r="C30" s="18">
        <f>-C23*Допущения!$B$37</f>
        <v/>
      </c>
      <c r="D30" s="18">
        <f>-D23*Допущения!$B$37</f>
        <v/>
      </c>
      <c r="E30" s="18">
        <f>-E23*Допущения!$B$37</f>
        <v/>
      </c>
      <c r="F30" s="18">
        <f>-F23*Допущения!$B$37</f>
        <v/>
      </c>
      <c r="G30" s="18">
        <f>-G23*Допущения!$B$37</f>
        <v/>
      </c>
      <c r="H30" s="18">
        <f>-H23*Допущения!$B$37</f>
        <v/>
      </c>
      <c r="I30" s="18">
        <f>-I23*Допущения!$B$37</f>
        <v/>
      </c>
      <c r="J30" s="18">
        <f>-J23*Допущения!$B$37</f>
        <v/>
      </c>
      <c r="K30" s="18">
        <f>-K23*Допущения!$B$37</f>
        <v/>
      </c>
      <c r="L30" s="18">
        <f>-L23*Допущения!$B$37</f>
        <v/>
      </c>
      <c r="M30" s="18">
        <f>-M23*Допущения!$B$37</f>
        <v/>
      </c>
      <c r="N30" s="19">
        <f>SUM(B30:M30)</f>
        <v/>
      </c>
    </row>
    <row r="31">
      <c r="A31" s="6" t="inlineStr">
        <is>
          <t>Онбординг новых клиентов</t>
        </is>
      </c>
      <c r="B31" s="18">
        <f>-B12*Допущения!$B$35</f>
        <v/>
      </c>
      <c r="C31" s="18">
        <f>-C12*Допущения!$B$35</f>
        <v/>
      </c>
      <c r="D31" s="18">
        <f>-D12*Допущения!$B$35</f>
        <v/>
      </c>
      <c r="E31" s="18">
        <f>-E12*Допущения!$B$35</f>
        <v/>
      </c>
      <c r="F31" s="18">
        <f>-F12*Допущения!$B$35</f>
        <v/>
      </c>
      <c r="G31" s="18">
        <f>-G12*Допущения!$B$35</f>
        <v/>
      </c>
      <c r="H31" s="18">
        <f>-H12*Допущения!$B$35</f>
        <v/>
      </c>
      <c r="I31" s="18">
        <f>-I12*Допущения!$B$35</f>
        <v/>
      </c>
      <c r="J31" s="18">
        <f>-J12*Допущения!$B$35</f>
        <v/>
      </c>
      <c r="K31" s="18">
        <f>-K12*Допущения!$B$35</f>
        <v/>
      </c>
      <c r="L31" s="18">
        <f>-L12*Допущения!$B$35</f>
        <v/>
      </c>
      <c r="M31" s="18">
        <f>-M12*Допущения!$B$35</f>
        <v/>
      </c>
      <c r="N31" s="19">
        <f>SUM(B31:M31)</f>
        <v/>
      </c>
    </row>
    <row r="32">
      <c r="A32" s="6" t="inlineStr">
        <is>
          <t>Поддержка активных</t>
        </is>
      </c>
      <c r="B32" s="18">
        <f>-B14*Допущения!$B$36</f>
        <v/>
      </c>
      <c r="C32" s="18">
        <f>-C14*Допущения!$B$36</f>
        <v/>
      </c>
      <c r="D32" s="18">
        <f>-D14*Допущения!$B$36</f>
        <v/>
      </c>
      <c r="E32" s="18">
        <f>-E14*Допущения!$B$36</f>
        <v/>
      </c>
      <c r="F32" s="18">
        <f>-F14*Допущения!$B$36</f>
        <v/>
      </c>
      <c r="G32" s="18">
        <f>-G14*Допущения!$B$36</f>
        <v/>
      </c>
      <c r="H32" s="18">
        <f>-H14*Допущения!$B$36</f>
        <v/>
      </c>
      <c r="I32" s="18">
        <f>-I14*Допущения!$B$36</f>
        <v/>
      </c>
      <c r="J32" s="18">
        <f>-J14*Допущения!$B$36</f>
        <v/>
      </c>
      <c r="K32" s="18">
        <f>-K14*Допущения!$B$36</f>
        <v/>
      </c>
      <c r="L32" s="18">
        <f>-L14*Допущения!$B$36</f>
        <v/>
      </c>
      <c r="M32" s="18">
        <f>-M14*Допущения!$B$36</f>
        <v/>
      </c>
      <c r="N32" s="19">
        <f>SUM(B32:M32)</f>
        <v/>
      </c>
    </row>
    <row r="33">
      <c r="A33" s="22" t="inlineStr">
        <is>
          <t>ИТОГО СЕБЕСТОИМОСТЬ</t>
        </is>
      </c>
      <c r="B33" s="24">
        <f>SUM(B26:B32)</f>
        <v/>
      </c>
      <c r="C33" s="24">
        <f>SUM(C26:C32)</f>
        <v/>
      </c>
      <c r="D33" s="24">
        <f>SUM(D26:D32)</f>
        <v/>
      </c>
      <c r="E33" s="24">
        <f>SUM(E26:E32)</f>
        <v/>
      </c>
      <c r="F33" s="24">
        <f>SUM(F26:F32)</f>
        <v/>
      </c>
      <c r="G33" s="24">
        <f>SUM(G26:G32)</f>
        <v/>
      </c>
      <c r="H33" s="24">
        <f>SUM(H26:H32)</f>
        <v/>
      </c>
      <c r="I33" s="24">
        <f>SUM(I26:I32)</f>
        <v/>
      </c>
      <c r="J33" s="24">
        <f>SUM(J26:J32)</f>
        <v/>
      </c>
      <c r="K33" s="24">
        <f>SUM(K26:K32)</f>
        <v/>
      </c>
      <c r="L33" s="24">
        <f>SUM(L26:L32)</f>
        <v/>
      </c>
      <c r="M33" s="24">
        <f>SUM(M26:M32)</f>
        <v/>
      </c>
      <c r="N33" s="19">
        <f>SUM(B33:M33)</f>
        <v/>
      </c>
    </row>
    <row r="34">
      <c r="A34" s="22" t="inlineStr">
        <is>
          <t>ВАЛОВАЯ ПРИБЫЛЬ</t>
        </is>
      </c>
      <c r="B34" s="19">
        <f>B23+B33</f>
        <v/>
      </c>
      <c r="C34" s="19">
        <f>C23+C33</f>
        <v/>
      </c>
      <c r="D34" s="19">
        <f>D23+D33</f>
        <v/>
      </c>
      <c r="E34" s="19">
        <f>E23+E33</f>
        <v/>
      </c>
      <c r="F34" s="19">
        <f>F23+F33</f>
        <v/>
      </c>
      <c r="G34" s="19">
        <f>G23+G33</f>
        <v/>
      </c>
      <c r="H34" s="19">
        <f>H23+H33</f>
        <v/>
      </c>
      <c r="I34" s="19">
        <f>I23+I33</f>
        <v/>
      </c>
      <c r="J34" s="19">
        <f>J23+J33</f>
        <v/>
      </c>
      <c r="K34" s="19">
        <f>K23+K33</f>
        <v/>
      </c>
      <c r="L34" s="19">
        <f>L23+L33</f>
        <v/>
      </c>
      <c r="M34" s="19">
        <f>M23+M33</f>
        <v/>
      </c>
      <c r="N34" s="19">
        <f>SUM(B34:M34)</f>
        <v/>
      </c>
    </row>
    <row r="35">
      <c r="A35" s="22" t="inlineStr">
        <is>
          <t>Валовая маржа</t>
        </is>
      </c>
      <c r="B35" s="25">
        <f>IFERROR(B34/B23,0)</f>
        <v/>
      </c>
      <c r="C35" s="25">
        <f>IFERROR(C34/C23,0)</f>
        <v/>
      </c>
      <c r="D35" s="25">
        <f>IFERROR(D34/D23,0)</f>
        <v/>
      </c>
      <c r="E35" s="25">
        <f>IFERROR(E34/E23,0)</f>
        <v/>
      </c>
      <c r="F35" s="25">
        <f>IFERROR(F34/F23,0)</f>
        <v/>
      </c>
      <c r="G35" s="25">
        <f>IFERROR(G34/G23,0)</f>
        <v/>
      </c>
      <c r="H35" s="25">
        <f>IFERROR(H34/H23,0)</f>
        <v/>
      </c>
      <c r="I35" s="25">
        <f>IFERROR(I34/I23,0)</f>
        <v/>
      </c>
      <c r="J35" s="25">
        <f>IFERROR(J34/J23,0)</f>
        <v/>
      </c>
      <c r="K35" s="25">
        <f>IFERROR(K34/K23,0)</f>
        <v/>
      </c>
      <c r="L35" s="25">
        <f>IFERROR(L34/L23,0)</f>
        <v/>
      </c>
      <c r="M35" s="25">
        <f>IFERROR(M34/M23,0)</f>
        <v/>
      </c>
      <c r="N35" s="26">
        <f>IFERROR(AVERAGE(B35:M35),0)</f>
        <v/>
      </c>
    </row>
    <row r="37">
      <c r="A37" s="4" t="inlineStr">
        <is>
          <t>КОМАНДА</t>
        </is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</row>
    <row r="38">
      <c r="A38" s="6" t="inlineStr">
        <is>
          <t>Сотрудников</t>
        </is>
      </c>
      <c r="B38" s="20">
        <f>SUMPRODUCT((ISNUMBER('Команда'!$C$5:$C$9))*('Команда'!$C$5:$C$9&lt;=B4))</f>
        <v/>
      </c>
      <c r="C38" s="20">
        <f>SUMPRODUCT((ISNUMBER('Команда'!$C$5:$C$9))*('Команда'!$C$5:$C$9&lt;=C4))</f>
        <v/>
      </c>
      <c r="D38" s="20">
        <f>SUMPRODUCT((ISNUMBER('Команда'!$C$5:$C$9))*('Команда'!$C$5:$C$9&lt;=D4))</f>
        <v/>
      </c>
      <c r="E38" s="20">
        <f>SUMPRODUCT((ISNUMBER('Команда'!$C$5:$C$9))*('Команда'!$C$5:$C$9&lt;=E4))</f>
        <v/>
      </c>
      <c r="F38" s="20">
        <f>SUMPRODUCT((ISNUMBER('Команда'!$C$5:$C$9))*('Команда'!$C$5:$C$9&lt;=F4))</f>
        <v/>
      </c>
      <c r="G38" s="20">
        <f>SUMPRODUCT((ISNUMBER('Команда'!$C$5:$C$9))*('Команда'!$C$5:$C$9&lt;=G4))</f>
        <v/>
      </c>
      <c r="H38" s="20">
        <f>SUMPRODUCT((ISNUMBER('Команда'!$C$5:$C$9))*('Команда'!$C$5:$C$9&lt;=H4))</f>
        <v/>
      </c>
      <c r="I38" s="20">
        <f>SUMPRODUCT((ISNUMBER('Команда'!$C$5:$C$9))*('Команда'!$C$5:$C$9&lt;=I4))</f>
        <v/>
      </c>
      <c r="J38" s="20">
        <f>SUMPRODUCT((ISNUMBER('Команда'!$C$5:$C$9))*('Команда'!$C$5:$C$9&lt;=J4))</f>
        <v/>
      </c>
      <c r="K38" s="20">
        <f>SUMPRODUCT((ISNUMBER('Команда'!$C$5:$C$9))*('Команда'!$C$5:$C$9&lt;=K4))</f>
        <v/>
      </c>
      <c r="L38" s="20">
        <f>SUMPRODUCT((ISNUMBER('Команда'!$C$5:$C$9))*('Команда'!$C$5:$C$9&lt;=L4))</f>
        <v/>
      </c>
      <c r="M38" s="20">
        <f>SUMPRODUCT((ISNUMBER('Команда'!$C$5:$C$9))*('Команда'!$C$5:$C$9&lt;=M4))</f>
        <v/>
      </c>
      <c r="N38" s="21">
        <f>M38</f>
        <v/>
      </c>
    </row>
    <row r="39">
      <c r="A39" s="6" t="inlineStr">
        <is>
          <t>ФОТ gross</t>
        </is>
      </c>
      <c r="B39" s="18">
        <f>-SUMPRODUCT((ISNUMBER('Команда'!$C$5:$C$9))*('Команда'!$C$5:$C$9&lt;=B4)*'Команда'!$B$5:$B$9)</f>
        <v/>
      </c>
      <c r="C39" s="18">
        <f>-SUMPRODUCT((ISNUMBER('Команда'!$C$5:$C$9))*('Команда'!$C$5:$C$9&lt;=C4)*'Команда'!$B$5:$B$9)</f>
        <v/>
      </c>
      <c r="D39" s="18">
        <f>-SUMPRODUCT((ISNUMBER('Команда'!$C$5:$C$9))*('Команда'!$C$5:$C$9&lt;=D4)*'Команда'!$B$5:$B$9)</f>
        <v/>
      </c>
      <c r="E39" s="18">
        <f>-SUMPRODUCT((ISNUMBER('Команда'!$C$5:$C$9))*('Команда'!$C$5:$C$9&lt;=E4)*'Команда'!$B$5:$B$9)</f>
        <v/>
      </c>
      <c r="F39" s="18">
        <f>-SUMPRODUCT((ISNUMBER('Команда'!$C$5:$C$9))*('Команда'!$C$5:$C$9&lt;=F4)*'Команда'!$B$5:$B$9)</f>
        <v/>
      </c>
      <c r="G39" s="18">
        <f>-SUMPRODUCT((ISNUMBER('Команда'!$C$5:$C$9))*('Команда'!$C$5:$C$9&lt;=G4)*'Команда'!$B$5:$B$9)</f>
        <v/>
      </c>
      <c r="H39" s="18">
        <f>-SUMPRODUCT((ISNUMBER('Команда'!$C$5:$C$9))*('Команда'!$C$5:$C$9&lt;=H4)*'Команда'!$B$5:$B$9)</f>
        <v/>
      </c>
      <c r="I39" s="18">
        <f>-SUMPRODUCT((ISNUMBER('Команда'!$C$5:$C$9))*('Команда'!$C$5:$C$9&lt;=I4)*'Команда'!$B$5:$B$9)</f>
        <v/>
      </c>
      <c r="J39" s="18">
        <f>-SUMPRODUCT((ISNUMBER('Команда'!$C$5:$C$9))*('Команда'!$C$5:$C$9&lt;=J4)*'Команда'!$B$5:$B$9)</f>
        <v/>
      </c>
      <c r="K39" s="18">
        <f>-SUMPRODUCT((ISNUMBER('Команда'!$C$5:$C$9))*('Команда'!$C$5:$C$9&lt;=K4)*'Команда'!$B$5:$B$9)</f>
        <v/>
      </c>
      <c r="L39" s="18">
        <f>-SUMPRODUCT((ISNUMBER('Команда'!$C$5:$C$9))*('Команда'!$C$5:$C$9&lt;=L4)*'Команда'!$B$5:$B$9)</f>
        <v/>
      </c>
      <c r="M39" s="18">
        <f>-SUMPRODUCT((ISNUMBER('Команда'!$C$5:$C$9))*('Команда'!$C$5:$C$9&lt;=M4)*'Команда'!$B$5:$B$9)</f>
        <v/>
      </c>
      <c r="N39" s="19">
        <f>SUM(B39:M39)</f>
        <v/>
      </c>
    </row>
    <row r="40">
      <c r="A40" s="6" t="inlineStr">
        <is>
          <t>Налоги на ФОТ</t>
        </is>
      </c>
      <c r="B40" s="18">
        <f>B39*Допущения!$B$46</f>
        <v/>
      </c>
      <c r="C40" s="18">
        <f>C39*Допущения!$B$46</f>
        <v/>
      </c>
      <c r="D40" s="18">
        <f>D39*Допущения!$B$46</f>
        <v/>
      </c>
      <c r="E40" s="18">
        <f>E39*Допущения!$B$46</f>
        <v/>
      </c>
      <c r="F40" s="18">
        <f>F39*Допущения!$B$46</f>
        <v/>
      </c>
      <c r="G40" s="18">
        <f>G39*Допущения!$B$46</f>
        <v/>
      </c>
      <c r="H40" s="18">
        <f>H39*Допущения!$B$46</f>
        <v/>
      </c>
      <c r="I40" s="18">
        <f>I39*Допущения!$B$46</f>
        <v/>
      </c>
      <c r="J40" s="18">
        <f>J39*Допущения!$B$46</f>
        <v/>
      </c>
      <c r="K40" s="18">
        <f>K39*Допущения!$B$46</f>
        <v/>
      </c>
      <c r="L40" s="18">
        <f>L39*Допущения!$B$46</f>
        <v/>
      </c>
      <c r="M40" s="18">
        <f>M39*Допущения!$B$46</f>
        <v/>
      </c>
      <c r="N40" s="19">
        <f>SUM(B40:M40)</f>
        <v/>
      </c>
    </row>
    <row r="41">
      <c r="A41" s="22" t="inlineStr">
        <is>
          <t>ФОТ с налогами</t>
        </is>
      </c>
      <c r="B41" s="24">
        <f>B39+B40</f>
        <v/>
      </c>
      <c r="C41" s="24">
        <f>C39+C40</f>
        <v/>
      </c>
      <c r="D41" s="24">
        <f>D39+D40</f>
        <v/>
      </c>
      <c r="E41" s="24">
        <f>E39+E40</f>
        <v/>
      </c>
      <c r="F41" s="24">
        <f>F39+F40</f>
        <v/>
      </c>
      <c r="G41" s="24">
        <f>G39+G40</f>
        <v/>
      </c>
      <c r="H41" s="24">
        <f>H39+H40</f>
        <v/>
      </c>
      <c r="I41" s="24">
        <f>I39+I40</f>
        <v/>
      </c>
      <c r="J41" s="24">
        <f>J39+J40</f>
        <v/>
      </c>
      <c r="K41" s="24">
        <f>K39+K40</f>
        <v/>
      </c>
      <c r="L41" s="24">
        <f>L39+L40</f>
        <v/>
      </c>
      <c r="M41" s="24">
        <f>M39+M40</f>
        <v/>
      </c>
      <c r="N41" s="19">
        <f>SUM(B41:M41)</f>
        <v/>
      </c>
    </row>
    <row r="43">
      <c r="A43" s="4" t="inlineStr">
        <is>
          <t>OPEX</t>
        </is>
      </c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</row>
    <row r="44">
      <c r="A44" s="6" t="inlineStr">
        <is>
          <t>Маркетинг</t>
        </is>
      </c>
      <c r="B44" s="18">
        <f>-B8</f>
        <v/>
      </c>
      <c r="C44" s="18">
        <f>-C8</f>
        <v/>
      </c>
      <c r="D44" s="18">
        <f>-D8</f>
        <v/>
      </c>
      <c r="E44" s="18">
        <f>-E8</f>
        <v/>
      </c>
      <c r="F44" s="18">
        <f>-F8</f>
        <v/>
      </c>
      <c r="G44" s="18">
        <f>-G8</f>
        <v/>
      </c>
      <c r="H44" s="18">
        <f>-H8</f>
        <v/>
      </c>
      <c r="I44" s="18">
        <f>-I8</f>
        <v/>
      </c>
      <c r="J44" s="18">
        <f>-J8</f>
        <v/>
      </c>
      <c r="K44" s="18">
        <f>-K8</f>
        <v/>
      </c>
      <c r="L44" s="18">
        <f>-L8</f>
        <v/>
      </c>
      <c r="M44" s="18">
        <f>-M8</f>
        <v/>
      </c>
      <c r="N44" s="19">
        <f>SUM(B44:M44)</f>
        <v/>
      </c>
    </row>
    <row r="45">
      <c r="A45" s="6" t="inlineStr">
        <is>
          <t>Сервисы IT / инфра</t>
        </is>
      </c>
      <c r="B45" s="18">
        <f>-Допущения!$B$39</f>
        <v/>
      </c>
      <c r="C45" s="18">
        <f>B45*(1+Допущения!$B$40)</f>
        <v/>
      </c>
      <c r="D45" s="18">
        <f>C45*(1+Допущения!$B$40)</f>
        <v/>
      </c>
      <c r="E45" s="18">
        <f>D45*(1+Допущения!$B$40)</f>
        <v/>
      </c>
      <c r="F45" s="18">
        <f>E45*(1+Допущения!$B$40)</f>
        <v/>
      </c>
      <c r="G45" s="18">
        <f>F45*(1+Допущения!$B$40)</f>
        <v/>
      </c>
      <c r="H45" s="18">
        <f>G45*(1+Допущения!$B$40)</f>
        <v/>
      </c>
      <c r="I45" s="18">
        <f>H45*(1+Допущения!$B$40)</f>
        <v/>
      </c>
      <c r="J45" s="18">
        <f>I45*(1+Допущения!$B$40)</f>
        <v/>
      </c>
      <c r="K45" s="18">
        <f>J45*(1+Допущения!$B$40)</f>
        <v/>
      </c>
      <c r="L45" s="18">
        <f>K45*(1+Допущения!$B$40)</f>
        <v/>
      </c>
      <c r="M45" s="18">
        <f>L45*(1+Допущения!$B$40)</f>
        <v/>
      </c>
      <c r="N45" s="19">
        <f>SUM(B45:M45)</f>
        <v/>
      </c>
    </row>
    <row r="46">
      <c r="A46" s="6" t="inlineStr">
        <is>
          <t>Юрист / бухгалтер</t>
        </is>
      </c>
      <c r="B46" s="18">
        <f>-Допущения!$B$41</f>
        <v/>
      </c>
      <c r="C46" s="18">
        <f>-Допущения!$B$41</f>
        <v/>
      </c>
      <c r="D46" s="18">
        <f>-Допущения!$B$41</f>
        <v/>
      </c>
      <c r="E46" s="18">
        <f>-Допущения!$B$41</f>
        <v/>
      </c>
      <c r="F46" s="18">
        <f>-Допущения!$B$41</f>
        <v/>
      </c>
      <c r="G46" s="18">
        <f>-Допущения!$B$41</f>
        <v/>
      </c>
      <c r="H46" s="18">
        <f>-Допущения!$B$41</f>
        <v/>
      </c>
      <c r="I46" s="18">
        <f>-Допущения!$B$41</f>
        <v/>
      </c>
      <c r="J46" s="18">
        <f>-Допущения!$B$41</f>
        <v/>
      </c>
      <c r="K46" s="18">
        <f>-Допущения!$B$41</f>
        <v/>
      </c>
      <c r="L46" s="18">
        <f>-Допущения!$B$41</f>
        <v/>
      </c>
      <c r="M46" s="18">
        <f>-Допущения!$B$41</f>
        <v/>
      </c>
      <c r="N46" s="19">
        <f>SUM(B46:M46)</f>
        <v/>
      </c>
    </row>
    <row r="47">
      <c r="A47" s="6" t="inlineStr">
        <is>
          <t>Прочие (% выручки)</t>
        </is>
      </c>
      <c r="B47" s="18">
        <f>-B23*Допущения!$B$42</f>
        <v/>
      </c>
      <c r="C47" s="18">
        <f>-C23*Допущения!$B$42</f>
        <v/>
      </c>
      <c r="D47" s="18">
        <f>-D23*Допущения!$B$42</f>
        <v/>
      </c>
      <c r="E47" s="18">
        <f>-E23*Допущения!$B$42</f>
        <v/>
      </c>
      <c r="F47" s="18">
        <f>-F23*Допущения!$B$42</f>
        <v/>
      </c>
      <c r="G47" s="18">
        <f>-G23*Допущения!$B$42</f>
        <v/>
      </c>
      <c r="H47" s="18">
        <f>-H23*Допущения!$B$42</f>
        <v/>
      </c>
      <c r="I47" s="18">
        <f>-I23*Допущения!$B$42</f>
        <v/>
      </c>
      <c r="J47" s="18">
        <f>-J23*Допущения!$B$42</f>
        <v/>
      </c>
      <c r="K47" s="18">
        <f>-K23*Допущения!$B$42</f>
        <v/>
      </c>
      <c r="L47" s="18">
        <f>-L23*Допущения!$B$42</f>
        <v/>
      </c>
      <c r="M47" s="18">
        <f>-M23*Допущения!$B$42</f>
        <v/>
      </c>
      <c r="N47" s="19">
        <f>SUM(B47:M47)</f>
        <v/>
      </c>
    </row>
    <row r="48">
      <c r="A48" s="6" t="inlineStr">
        <is>
          <t>Резерв непредвиденных</t>
        </is>
      </c>
      <c r="B48" s="18">
        <f>SUM(B44:B47)*Допущения!$B$43</f>
        <v/>
      </c>
      <c r="C48" s="18">
        <f>SUM(C44:C47)*Допущения!$B$43</f>
        <v/>
      </c>
      <c r="D48" s="18">
        <f>SUM(D44:D47)*Допущения!$B$43</f>
        <v/>
      </c>
      <c r="E48" s="18">
        <f>SUM(E44:E47)*Допущения!$B$43</f>
        <v/>
      </c>
      <c r="F48" s="18">
        <f>SUM(F44:F47)*Допущения!$B$43</f>
        <v/>
      </c>
      <c r="G48" s="18">
        <f>SUM(G44:G47)*Допущения!$B$43</f>
        <v/>
      </c>
      <c r="H48" s="18">
        <f>SUM(H44:H47)*Допущения!$B$43</f>
        <v/>
      </c>
      <c r="I48" s="18">
        <f>SUM(I44:I47)*Допущения!$B$43</f>
        <v/>
      </c>
      <c r="J48" s="18">
        <f>SUM(J44:J47)*Допущения!$B$43</f>
        <v/>
      </c>
      <c r="K48" s="18">
        <f>SUM(K44:K47)*Допущения!$B$43</f>
        <v/>
      </c>
      <c r="L48" s="18">
        <f>SUM(L44:L47)*Допущения!$B$43</f>
        <v/>
      </c>
      <c r="M48" s="18">
        <f>SUM(M44:M47)*Допущения!$B$43</f>
        <v/>
      </c>
      <c r="N48" s="19">
        <f>SUM(B48:M48)</f>
        <v/>
      </c>
    </row>
    <row r="49">
      <c r="A49" s="22" t="inlineStr">
        <is>
          <t>ИТОГО OPEX</t>
        </is>
      </c>
      <c r="B49" s="24">
        <f>SUM(B44:B48)</f>
        <v/>
      </c>
      <c r="C49" s="24">
        <f>SUM(C44:C48)</f>
        <v/>
      </c>
      <c r="D49" s="24">
        <f>SUM(D44:D48)</f>
        <v/>
      </c>
      <c r="E49" s="24">
        <f>SUM(E44:E48)</f>
        <v/>
      </c>
      <c r="F49" s="24">
        <f>SUM(F44:F48)</f>
        <v/>
      </c>
      <c r="G49" s="24">
        <f>SUM(G44:G48)</f>
        <v/>
      </c>
      <c r="H49" s="24">
        <f>SUM(H44:H48)</f>
        <v/>
      </c>
      <c r="I49" s="24">
        <f>SUM(I44:I48)</f>
        <v/>
      </c>
      <c r="J49" s="24">
        <f>SUM(J44:J48)</f>
        <v/>
      </c>
      <c r="K49" s="24">
        <f>SUM(K44:K48)</f>
        <v/>
      </c>
      <c r="L49" s="24">
        <f>SUM(L44:L48)</f>
        <v/>
      </c>
      <c r="M49" s="24">
        <f>SUM(M44:M48)</f>
        <v/>
      </c>
      <c r="N49" s="19">
        <f>SUM(B49:M49)</f>
        <v/>
      </c>
    </row>
    <row r="50">
      <c r="A50" s="22" t="inlineStr">
        <is>
          <t>OPEX + ФОТ</t>
        </is>
      </c>
      <c r="B50" s="24">
        <f>B49+B41</f>
        <v/>
      </c>
      <c r="C50" s="24">
        <f>C49+C41</f>
        <v/>
      </c>
      <c r="D50" s="24">
        <f>D49+D41</f>
        <v/>
      </c>
      <c r="E50" s="24">
        <f>E49+E41</f>
        <v/>
      </c>
      <c r="F50" s="24">
        <f>F49+F41</f>
        <v/>
      </c>
      <c r="G50" s="24">
        <f>G49+G41</f>
        <v/>
      </c>
      <c r="H50" s="24">
        <f>H49+H41</f>
        <v/>
      </c>
      <c r="I50" s="24">
        <f>I49+I41</f>
        <v/>
      </c>
      <c r="J50" s="24">
        <f>J49+J41</f>
        <v/>
      </c>
      <c r="K50" s="24">
        <f>K49+K41</f>
        <v/>
      </c>
      <c r="L50" s="24">
        <f>L49+L41</f>
        <v/>
      </c>
      <c r="M50" s="24">
        <f>M49+M41</f>
        <v/>
      </c>
      <c r="N50" s="19">
        <f>SUM(B50:M50)</f>
        <v/>
      </c>
    </row>
    <row r="52">
      <c r="A52" s="4" t="inlineStr">
        <is>
          <t>ФИНАНСОВЫЙ РЕЗУЛЬТАТ</t>
        </is>
      </c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</row>
    <row r="53">
      <c r="A53" s="22" t="inlineStr">
        <is>
          <t>EBITDA</t>
        </is>
      </c>
      <c r="B53" s="19">
        <f>B34+B50</f>
        <v/>
      </c>
      <c r="C53" s="19">
        <f>C34+C50</f>
        <v/>
      </c>
      <c r="D53" s="19">
        <f>D34+D50</f>
        <v/>
      </c>
      <c r="E53" s="19">
        <f>E34+E50</f>
        <v/>
      </c>
      <c r="F53" s="19">
        <f>F34+F50</f>
        <v/>
      </c>
      <c r="G53" s="19">
        <f>G34+G50</f>
        <v/>
      </c>
      <c r="H53" s="19">
        <f>H34+H50</f>
        <v/>
      </c>
      <c r="I53" s="19">
        <f>I34+I50</f>
        <v/>
      </c>
      <c r="J53" s="19">
        <f>J34+J50</f>
        <v/>
      </c>
      <c r="K53" s="19">
        <f>K34+K50</f>
        <v/>
      </c>
      <c r="L53" s="19">
        <f>L34+L50</f>
        <v/>
      </c>
      <c r="M53" s="19">
        <f>M34+M50</f>
        <v/>
      </c>
      <c r="N53" s="19">
        <f>SUM(B53:M53)</f>
        <v/>
      </c>
    </row>
    <row r="54">
      <c r="A54" s="22" t="inlineStr">
        <is>
          <t>EBITDA маржа</t>
        </is>
      </c>
      <c r="B54" s="25">
        <f>IFERROR(B53/B23,0)</f>
        <v/>
      </c>
      <c r="C54" s="25">
        <f>IFERROR(C53/C23,0)</f>
        <v/>
      </c>
      <c r="D54" s="25">
        <f>IFERROR(D53/D23,0)</f>
        <v/>
      </c>
      <c r="E54" s="25">
        <f>IFERROR(E53/E23,0)</f>
        <v/>
      </c>
      <c r="F54" s="25">
        <f>IFERROR(F53/F23,0)</f>
        <v/>
      </c>
      <c r="G54" s="25">
        <f>IFERROR(G53/G23,0)</f>
        <v/>
      </c>
      <c r="H54" s="25">
        <f>IFERROR(H53/H23,0)</f>
        <v/>
      </c>
      <c r="I54" s="25">
        <f>IFERROR(I53/I23,0)</f>
        <v/>
      </c>
      <c r="J54" s="25">
        <f>IFERROR(J53/J23,0)</f>
        <v/>
      </c>
      <c r="K54" s="25">
        <f>IFERROR(K53/K23,0)</f>
        <v/>
      </c>
      <c r="L54" s="25">
        <f>IFERROR(L53/L23,0)</f>
        <v/>
      </c>
      <c r="M54" s="25">
        <f>IFERROR(M53/M23,0)</f>
        <v/>
      </c>
      <c r="N54" s="26">
        <f>IFERROR(AVERAGE(B54:M54),0)</f>
        <v/>
      </c>
    </row>
    <row r="55">
      <c r="A55" s="6" t="inlineStr">
        <is>
          <t>Налог УСН</t>
        </is>
      </c>
      <c r="B55" s="18">
        <f>-B23*Допущения!$B$45</f>
        <v/>
      </c>
      <c r="C55" s="18">
        <f>-C23*Допущения!$B$45</f>
        <v/>
      </c>
      <c r="D55" s="18">
        <f>-D23*Допущения!$B$45</f>
        <v/>
      </c>
      <c r="E55" s="18">
        <f>-E23*Допущения!$B$45</f>
        <v/>
      </c>
      <c r="F55" s="18">
        <f>-F23*Допущения!$B$45</f>
        <v/>
      </c>
      <c r="G55" s="18">
        <f>-G23*Допущения!$B$45</f>
        <v/>
      </c>
      <c r="H55" s="18">
        <f>-H23*Допущения!$B$45</f>
        <v/>
      </c>
      <c r="I55" s="18">
        <f>-I23*Допущения!$B$45</f>
        <v/>
      </c>
      <c r="J55" s="18">
        <f>-J23*Допущения!$B$45</f>
        <v/>
      </c>
      <c r="K55" s="18">
        <f>-K23*Допущения!$B$45</f>
        <v/>
      </c>
      <c r="L55" s="18">
        <f>-L23*Допущения!$B$45</f>
        <v/>
      </c>
      <c r="M55" s="18">
        <f>-M23*Допущения!$B$45</f>
        <v/>
      </c>
      <c r="N55" s="19">
        <f>SUM(B55:M55)</f>
        <v/>
      </c>
    </row>
    <row r="56">
      <c r="A56" s="22" t="inlineStr">
        <is>
          <t>ЧИСТАЯ ПРИБЫЛЬ</t>
        </is>
      </c>
      <c r="B56" s="19">
        <f>B53+B55</f>
        <v/>
      </c>
      <c r="C56" s="19">
        <f>C53+C55</f>
        <v/>
      </c>
      <c r="D56" s="19">
        <f>D53+D55</f>
        <v/>
      </c>
      <c r="E56" s="19">
        <f>E53+E55</f>
        <v/>
      </c>
      <c r="F56" s="19">
        <f>F53+F55</f>
        <v/>
      </c>
      <c r="G56" s="19">
        <f>G53+G55</f>
        <v/>
      </c>
      <c r="H56" s="19">
        <f>H53+H55</f>
        <v/>
      </c>
      <c r="I56" s="19">
        <f>I53+I55</f>
        <v/>
      </c>
      <c r="J56" s="19">
        <f>J53+J55</f>
        <v/>
      </c>
      <c r="K56" s="19">
        <f>K53+K55</f>
        <v/>
      </c>
      <c r="L56" s="19">
        <f>L53+L55</f>
        <v/>
      </c>
      <c r="M56" s="19">
        <f>M53+M55</f>
        <v/>
      </c>
      <c r="N56" s="19">
        <f>SUM(B56:M56)</f>
        <v/>
      </c>
    </row>
    <row r="58">
      <c r="A58" s="4" t="inlineStr">
        <is>
          <t>ДЕНЕЖНЫЕ СРЕДСТВА (пакеты предоплачены)</t>
        </is>
      </c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</row>
    <row r="59">
      <c r="A59" s="22" t="inlineStr">
        <is>
          <t>Остаток ДС на конец</t>
        </is>
      </c>
      <c r="B59" s="19">
        <f>Допущения!$B$47+B56</f>
        <v/>
      </c>
      <c r="C59" s="19">
        <f>B59+C56</f>
        <v/>
      </c>
      <c r="D59" s="19">
        <f>C59+D56</f>
        <v/>
      </c>
      <c r="E59" s="19">
        <f>D59+E56</f>
        <v/>
      </c>
      <c r="F59" s="19">
        <f>E59+F56</f>
        <v/>
      </c>
      <c r="G59" s="19">
        <f>F59+G56</f>
        <v/>
      </c>
      <c r="H59" s="19">
        <f>G59+H56</f>
        <v/>
      </c>
      <c r="I59" s="19">
        <f>H59+I56</f>
        <v/>
      </c>
      <c r="J59" s="19">
        <f>I59+J56</f>
        <v/>
      </c>
      <c r="K59" s="19">
        <f>J59+K56</f>
        <v/>
      </c>
      <c r="L59" s="19">
        <f>K59+L56</f>
        <v/>
      </c>
      <c r="M59" s="19">
        <f>L59+M56</f>
        <v/>
      </c>
      <c r="N59" s="19">
        <f>M59</f>
        <v/>
      </c>
    </row>
    <row r="60">
      <c r="A60" s="6" t="inlineStr">
        <is>
          <t>Runway, мес</t>
        </is>
      </c>
      <c r="B60" s="27">
        <f>IFERROR(IF(B56&gt;=0,99,-B59/B56),0)</f>
        <v/>
      </c>
      <c r="C60" s="27">
        <f>IFERROR(IF(C56&gt;=0,99,-C59/C56),0)</f>
        <v/>
      </c>
      <c r="D60" s="27">
        <f>IFERROR(IF(D56&gt;=0,99,-D59/D56),0)</f>
        <v/>
      </c>
      <c r="E60" s="27">
        <f>IFERROR(IF(E56&gt;=0,99,-E59/E56),0)</f>
        <v/>
      </c>
      <c r="F60" s="27">
        <f>IFERROR(IF(F56&gt;=0,99,-F59/F56),0)</f>
        <v/>
      </c>
      <c r="G60" s="27">
        <f>IFERROR(IF(G56&gt;=0,99,-G59/G56),0)</f>
        <v/>
      </c>
      <c r="H60" s="27">
        <f>IFERROR(IF(H56&gt;=0,99,-H59/H56),0)</f>
        <v/>
      </c>
      <c r="I60" s="27">
        <f>IFERROR(IF(I56&gt;=0,99,-I59/I56),0)</f>
        <v/>
      </c>
      <c r="J60" s="27">
        <f>IFERROR(IF(J56&gt;=0,99,-J59/J56),0)</f>
        <v/>
      </c>
      <c r="K60" s="27">
        <f>IFERROR(IF(K56&gt;=0,99,-K59/K56),0)</f>
        <v/>
      </c>
      <c r="L60" s="27">
        <f>IFERROR(IF(L56&gt;=0,99,-L59/L56),0)</f>
        <v/>
      </c>
      <c r="M60" s="27">
        <f>IFERROR(IF(M56&gt;=0,99,-M59/M56),0)</f>
        <v/>
      </c>
      <c r="N60" s="28">
        <f>M60</f>
        <v/>
      </c>
    </row>
    <row r="62">
      <c r="A62" s="29" t="inlineStr">
        <is>
          <t>Примечание: клиент оплачивает пакет примерок вперёд, токены списываются по мере расхода.</t>
        </is>
      </c>
    </row>
    <row r="63">
      <c r="A63" s="29" t="inlineStr">
        <is>
          <t>Поэтому кассового разрыва по себестоимости нет — она покрыта деньгами заказчика.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42" customWidth="1" min="3" max="3"/>
  </cols>
  <sheetData>
    <row r="1">
      <c r="A1" s="1" t="inlineStr">
        <is>
          <t>Итоги 12 месяцев</t>
        </is>
      </c>
    </row>
    <row r="3">
      <c r="A3" s="15" t="inlineStr">
        <is>
          <t>Показатель</t>
        </is>
      </c>
      <c r="B3" s="15" t="inlineStr">
        <is>
          <t>Значение</t>
        </is>
      </c>
      <c r="C3" s="15" t="inlineStr">
        <is>
          <t>Комментарий</t>
        </is>
      </c>
    </row>
    <row r="4">
      <c r="A4" s="22" t="inlineStr">
        <is>
          <t>Активных клиентов на конец</t>
        </is>
      </c>
      <c r="B4" s="23">
        <f>'Модель'!M14</f>
        <v/>
      </c>
      <c r="C4" s="14" t="inlineStr">
        <is>
          <t>Накопленная база</t>
        </is>
      </c>
    </row>
    <row r="5">
      <c r="A5" s="22" t="inlineStr">
        <is>
          <t>Новых интеграций за год</t>
        </is>
      </c>
      <c r="B5" s="23">
        <f>SUM('Модель'!B12:M12)</f>
        <v/>
      </c>
      <c r="C5" s="14" t="inlineStr"/>
    </row>
    <row r="6">
      <c r="A6" s="22" t="inlineStr">
        <is>
          <t>Примерок за год</t>
        </is>
      </c>
      <c r="B6" s="23">
        <f>SUM('Модель'!B18:M18)</f>
        <v/>
      </c>
      <c r="C6" s="14" t="inlineStr"/>
    </row>
    <row r="7">
      <c r="A7" s="22" t="inlineStr">
        <is>
          <t>Выручка за год</t>
        </is>
      </c>
      <c r="B7" s="24">
        <f>SUM('Модель'!B23:M23)</f>
        <v/>
      </c>
      <c r="C7" s="14" t="inlineStr">
        <is>
          <t>Setup fee + примерки</t>
        </is>
      </c>
    </row>
    <row r="8">
      <c r="A8" s="6" t="inlineStr">
        <is>
          <t xml:space="preserve">  в т.ч. setup fee</t>
        </is>
      </c>
      <c r="B8" s="24">
        <f>SUM('Модель'!B21:M21)</f>
        <v/>
      </c>
      <c r="C8" s="14" t="inlineStr"/>
    </row>
    <row r="9">
      <c r="A9" s="6" t="inlineStr">
        <is>
          <t xml:space="preserve">  в т.ч. примерки</t>
        </is>
      </c>
      <c r="B9" s="24">
        <f>SUM('Модель'!B22:M22)</f>
        <v/>
      </c>
      <c r="C9" s="14" t="inlineStr"/>
    </row>
    <row r="10">
      <c r="A10" s="22" t="inlineStr">
        <is>
          <t>Себестоимость за год</t>
        </is>
      </c>
      <c r="B10" s="24">
        <f>-SUM('Модель'!B33:M33)</f>
        <v/>
      </c>
      <c r="C10" s="14" t="inlineStr"/>
    </row>
    <row r="11">
      <c r="A11" s="22" t="inlineStr">
        <is>
          <t>Валовая прибыль</t>
        </is>
      </c>
      <c r="B11" s="24">
        <f>SUM('Модель'!B34:M34)</f>
        <v/>
      </c>
      <c r="C11" s="14" t="inlineStr"/>
    </row>
    <row r="12">
      <c r="A12" s="22" t="inlineStr">
        <is>
          <t>Валовая маржа</t>
        </is>
      </c>
      <c r="B12" s="25">
        <f>IFERROR(B11/B7,0)</f>
        <v/>
      </c>
      <c r="C12" s="14" t="inlineStr"/>
    </row>
    <row r="13">
      <c r="A13" s="22" t="inlineStr">
        <is>
          <t>ФОТ с налогами</t>
        </is>
      </c>
      <c r="B13" s="24">
        <f>-SUM('Модель'!B41:M41)</f>
        <v/>
      </c>
      <c r="C13" s="14" t="inlineStr"/>
    </row>
    <row r="14">
      <c r="A14" s="22" t="inlineStr">
        <is>
          <t>OPEX</t>
        </is>
      </c>
      <c r="B14" s="24">
        <f>-SUM('Модель'!B49:M49)</f>
        <v/>
      </c>
      <c r="C14" s="14" t="inlineStr"/>
    </row>
    <row r="15">
      <c r="A15" s="22" t="inlineStr">
        <is>
          <t>EBITDA</t>
        </is>
      </c>
      <c r="B15" s="30">
        <f>SUM('Модель'!B53:M53)</f>
        <v/>
      </c>
      <c r="C15" s="14" t="inlineStr">
        <is>
          <t>Ключевая цифра</t>
        </is>
      </c>
    </row>
    <row r="16">
      <c r="A16" s="22" t="inlineStr">
        <is>
          <t>EBITDA маржа</t>
        </is>
      </c>
      <c r="B16" s="25">
        <f>IFERROR(B15/B7,0)</f>
        <v/>
      </c>
      <c r="C16" s="14" t="inlineStr"/>
    </row>
    <row r="17">
      <c r="A17" s="22" t="inlineStr">
        <is>
          <t>Чистая прибыль</t>
        </is>
      </c>
      <c r="B17" s="30">
        <f>SUM('Модель'!B56:M56)</f>
        <v/>
      </c>
      <c r="C17" s="14" t="inlineStr"/>
    </row>
    <row r="18">
      <c r="A18" s="22" t="inlineStr">
        <is>
          <t>Остаток ДС на конец</t>
        </is>
      </c>
      <c r="B18" s="30">
        <f>'Модель'!M59</f>
        <v/>
      </c>
      <c r="C18" s="14" t="inlineStr">
        <is>
          <t>Отрицательный = нужен внешний капитал</t>
        </is>
      </c>
    </row>
    <row r="19">
      <c r="A19" s="22" t="inlineStr">
        <is>
          <t>Месяц выхода в плюс (EBITDA)</t>
        </is>
      </c>
      <c r="B19" s="23">
        <f>IFERROR(MATCH(TRUE,INDEX('Модель'!B53:M53&gt;0,0),0),"не выходит")</f>
        <v/>
      </c>
      <c r="C19" s="14" t="inlineStr">
        <is>
          <t>Номер месяца</t>
        </is>
      </c>
    </row>
    <row r="20">
      <c r="A20" s="4" t="inlineStr">
        <is>
          <t>ТОЧКА БЕЗУБЫТОЧНОСТИ</t>
        </is>
      </c>
      <c r="B20" s="5" t="n"/>
      <c r="C20" s="5" t="n"/>
    </row>
    <row r="21">
      <c r="A21" s="22" t="inlineStr">
        <is>
          <t>Расходы в месяц (OPEX+ФОТ, посл. мес)</t>
        </is>
      </c>
      <c r="B21" s="24">
        <f>-'Модель'!M50</f>
        <v/>
      </c>
      <c r="C21" s="14" t="inlineStr">
        <is>
          <t>Что надо покрыть валовой прибылью</t>
        </is>
      </c>
    </row>
    <row r="22">
      <c r="A22" s="22" t="inlineStr">
        <is>
          <t>Валовая прибыль с 1 примерки</t>
        </is>
      </c>
      <c r="B22" s="31">
        <f>'Unit-экономика'!B10</f>
        <v/>
      </c>
      <c r="C22" s="14" t="inlineStr">
        <is>
          <t>Контрибуция</t>
        </is>
      </c>
    </row>
    <row r="23">
      <c r="A23" s="22" t="inlineStr">
        <is>
          <t>Примерок/мес для безубыточности</t>
        </is>
      </c>
      <c r="B23" s="23">
        <f>IFERROR(B21/B22,0)</f>
        <v/>
      </c>
      <c r="C23" s="14" t="inlineStr">
        <is>
          <t>Сколько примерок должно идти через виджет</t>
        </is>
      </c>
    </row>
    <row r="24">
      <c r="A24" s="22" t="inlineStr">
        <is>
          <t>Клиентов для безубыточности</t>
        </is>
      </c>
      <c r="B24" s="23">
        <f>IFERROR(B23/Допущения!$B$20,0)</f>
        <v/>
      </c>
      <c r="C24" s="14" t="inlineStr">
        <is>
          <t>При текущей загрузке на клиента</t>
        </is>
      </c>
    </row>
    <row r="25">
      <c r="A25" s="22" t="inlineStr">
        <is>
          <t>Клиентов сейчас (конец года)</t>
        </is>
      </c>
      <c r="B25" s="23">
        <f>'Модель'!M14</f>
        <v/>
      </c>
      <c r="C25" s="14" t="inlineStr">
        <is>
          <t>Сравните с предыдущей строкой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48" customWidth="1" min="3" max="3"/>
  </cols>
  <sheetData>
    <row r="1">
      <c r="A1" s="1" t="inlineStr">
        <is>
          <t>Юнит-экономика: на примерку и на клиента</t>
        </is>
      </c>
    </row>
    <row r="3">
      <c r="A3" s="15" t="inlineStr">
        <is>
          <t>Показатель</t>
        </is>
      </c>
      <c r="B3" s="15" t="inlineStr">
        <is>
          <t>Значение</t>
        </is>
      </c>
      <c r="C3" s="15" t="inlineStr">
        <is>
          <t>Комментарий</t>
        </is>
      </c>
    </row>
    <row r="4">
      <c r="A4" s="4" t="inlineStr">
        <is>
          <t>НА ОДНУ ПРИМЕРКУ</t>
        </is>
      </c>
      <c r="B4" s="5" t="n"/>
      <c r="C4" s="5" t="n"/>
    </row>
    <row r="5">
      <c r="A5" s="6" t="inlineStr">
        <is>
          <t>Цена</t>
        </is>
      </c>
      <c r="B5" s="32">
        <f>Допущения!$B$7</f>
        <v/>
      </c>
      <c r="C5" s="14" t="inlineStr"/>
    </row>
    <row r="6">
      <c r="A6" s="6" t="inlineStr">
        <is>
          <t>AI-генерация</t>
        </is>
      </c>
      <c r="B6" s="32">
        <f>-((Допущения!$B$25+(Допущения!$B$28-1)*Допущения!$B$26)*Допущения!$B$23/1000000+Допущения!$B$27*Допущения!$B$24/1000000)*Допущения!$B$6</f>
        <v/>
      </c>
      <c r="C6" s="14" t="inlineStr">
        <is>
          <t>Средневзвеш. по числу вещей</t>
        </is>
      </c>
    </row>
    <row r="7">
      <c r="A7" s="6" t="inlineStr">
        <is>
          <t>Отказы и ретраи</t>
        </is>
      </c>
      <c r="B7" s="32">
        <f>B5*Допущения!$B$29*Допущения!$B$30</f>
        <v/>
      </c>
      <c r="C7" s="14" t="inlineStr"/>
    </row>
    <row r="8">
      <c r="A8" s="6" t="inlineStr">
        <is>
          <t>Валидация фото</t>
        </is>
      </c>
      <c r="B8" s="32">
        <f>-Допущения!$B$31*1.25/Допущения!$B$32</f>
        <v/>
      </c>
      <c r="C8" s="14" t="inlineStr"/>
    </row>
    <row r="9">
      <c r="A9" s="6" t="inlineStr">
        <is>
          <t>Хранение</t>
        </is>
      </c>
      <c r="B9" s="32">
        <f>-Допущения!$B$33</f>
        <v/>
      </c>
      <c r="C9" s="14" t="inlineStr"/>
    </row>
    <row r="10">
      <c r="A10" s="6" t="inlineStr">
        <is>
          <t>Эквайринг</t>
        </is>
      </c>
      <c r="B10" s="33">
        <f>-Допущения!$B$7*Допущения!$B$37</f>
        <v/>
      </c>
      <c r="C10" s="14" t="inlineStr">
        <is>
          <t>0 при оплате по счёту</t>
        </is>
      </c>
    </row>
    <row r="11">
      <c r="A11" s="6" t="inlineStr">
        <is>
          <t>Контрибуция с примерки</t>
        </is>
      </c>
      <c r="B11" s="31">
        <f>SUM(B4:B9)</f>
        <v/>
      </c>
      <c r="C11" s="14" t="inlineStr">
        <is>
          <t>Ключевая цифра</t>
        </is>
      </c>
    </row>
    <row r="12">
      <c r="A12" s="6" t="inlineStr">
        <is>
          <t>Контрибуционная маржа</t>
        </is>
      </c>
      <c r="B12" s="34">
        <f>B10/Допущения!$B$7</f>
        <v/>
      </c>
      <c r="C12" s="14" t="inlineStr"/>
    </row>
    <row r="13">
      <c r="A13" s="4" t="inlineStr">
        <is>
          <t>НА ОДНОГО КЛИЕНТА</t>
        </is>
      </c>
      <c r="B13" s="5" t="n"/>
      <c r="C13" s="5" t="n"/>
    </row>
    <row r="14">
      <c r="A14" s="6" t="inlineStr">
        <is>
          <t>Setup fee</t>
        </is>
      </c>
      <c r="B14" s="18">
        <f>Допущения!$B$8</f>
        <v/>
      </c>
      <c r="C14" s="14" t="inlineStr"/>
    </row>
    <row r="15">
      <c r="A15" s="6" t="inlineStr">
        <is>
          <t>Онбординг</t>
        </is>
      </c>
      <c r="B15" s="18">
        <f>-Допущения!$B$35</f>
        <v/>
      </c>
      <c r="C15" s="14" t="inlineStr"/>
    </row>
    <row r="16">
      <c r="A16" s="6" t="inlineStr">
        <is>
          <t>Средний срок жизни</t>
        </is>
      </c>
      <c r="B16" s="27">
        <f>1/Допущения!$B$17</f>
        <v/>
      </c>
      <c r="C16" s="14" t="inlineStr">
        <is>
          <t>1 / месячный churn, мес</t>
        </is>
      </c>
    </row>
    <row r="17">
      <c r="A17" s="6" t="inlineStr">
        <is>
          <t>Примерок за жизнь</t>
        </is>
      </c>
      <c r="B17" s="20">
        <f>B15*Допущения!$B$20</f>
        <v/>
      </c>
      <c r="C17" s="14" t="inlineStr"/>
    </row>
    <row r="18">
      <c r="A18" s="6" t="inlineStr">
        <is>
          <t>Контрибуция с примерок за жизнь</t>
        </is>
      </c>
      <c r="B18" s="18">
        <f>B16*B10</f>
        <v/>
      </c>
      <c r="C18" s="14" t="inlineStr"/>
    </row>
    <row r="19">
      <c r="A19" s="6" t="inlineStr">
        <is>
          <t>Поддержка за жизнь</t>
        </is>
      </c>
      <c r="B19" s="35">
        <f>-B15*Допущения!$B$36</f>
        <v/>
      </c>
      <c r="C19" s="14" t="inlineStr"/>
    </row>
    <row r="20">
      <c r="A20" s="6" t="inlineStr">
        <is>
          <t>LTV (валовая, с setup)</t>
        </is>
      </c>
      <c r="B20" s="24">
        <f>B13+B14+B17+B18</f>
        <v/>
      </c>
      <c r="C20" s="14" t="inlineStr">
        <is>
          <t>Ключевая цифра</t>
        </is>
      </c>
    </row>
    <row r="21">
      <c r="A21" s="6" t="inlineStr">
        <is>
          <t>CAC интеграции (маркетинг)</t>
        </is>
      </c>
      <c r="B21" s="35">
        <f>Допущения!$B$13/Допущения!$B$15</f>
        <v/>
      </c>
      <c r="C21" s="14" t="inlineStr">
        <is>
          <t>CAC лида / конверсия</t>
        </is>
      </c>
    </row>
    <row r="22">
      <c r="A22" s="6" t="inlineStr">
        <is>
          <t>LTV / CAC</t>
        </is>
      </c>
      <c r="B22" s="36">
        <f>IFERROR(B19/B20,0)</f>
        <v/>
      </c>
      <c r="C22" s="14" t="inlineStr">
        <is>
          <t>Норма для SaaS ≥ 3×</t>
        </is>
      </c>
    </row>
    <row r="23">
      <c r="A23" s="6" t="inlineStr">
        <is>
          <t>Окупаемость подключения, мес</t>
        </is>
      </c>
      <c r="B23" s="37">
        <f>IFERROR(MAX(0,(Допущения!$B$35+Допущения!$B$13/Допущения!$B$15-Допущения!$B$8)/(Допущения!$B$20*B10-Допущения!$B$36)),0)</f>
        <v/>
      </c>
      <c r="C23" s="14" t="inlineStr">
        <is>
          <t>0 = окупается сразу на setup fee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72" customWidth="1" min="2" max="2"/>
    <col width="16" customWidth="1" min="3" max="3"/>
    <col width="44" customWidth="1" min="4" max="4"/>
  </cols>
  <sheetData>
    <row r="1">
      <c r="A1" s="1" t="inlineStr">
        <is>
          <t>Риски модели</t>
        </is>
      </c>
    </row>
    <row r="3">
      <c r="A3" s="15" t="inlineStr">
        <is>
          <t>#</t>
        </is>
      </c>
      <c r="B3" s="15" t="inlineStr">
        <is>
          <t>Риск</t>
        </is>
      </c>
      <c r="C3" s="15" t="inlineStr">
        <is>
          <t>Уровень</t>
        </is>
      </c>
      <c r="D3" s="15" t="inlineStr">
        <is>
          <t>Что делать</t>
        </is>
      </c>
    </row>
    <row r="4" ht="28" customHeight="1">
      <c r="A4" s="8" t="n">
        <v>1</v>
      </c>
      <c r="B4" s="38" t="inlineStr">
        <is>
          <t>Токены не пишутся в ai_api_logs (NULL во всех 2144 строках) — себестоимость в проде неизмерима</t>
        </is>
      </c>
      <c r="C4" s="39" t="inlineStr">
        <is>
          <t>КРИТИЧНЫЙ</t>
        </is>
      </c>
      <c r="D4" s="9" t="inlineStr">
        <is>
          <t>Включить запись, час работы</t>
        </is>
      </c>
    </row>
    <row r="5" ht="28" customHeight="1">
      <c r="A5" s="8" t="n">
        <v>2</v>
      </c>
      <c r="B5" s="38" t="inlineStr">
        <is>
          <t>Retention по 152-ФЗ не реализован; фото лиц хранятся бессрочно</t>
        </is>
      </c>
      <c r="C5" s="39" t="inlineStr">
        <is>
          <t>КРИТИЧНЫЙ</t>
        </is>
      </c>
      <c r="D5" s="9" t="inlineStr">
        <is>
          <t>Юрист + автоудаление</t>
        </is>
      </c>
    </row>
    <row r="6" ht="28" customHeight="1">
      <c r="A6" s="8" t="n">
        <v>3</v>
      </c>
      <c r="B6" s="38" t="inlineStr">
        <is>
          <t>В MinIO 6 фото против 697 записей в БД — 99% ссылок битые</t>
        </is>
      </c>
      <c r="C6" s="39" t="inlineStr">
        <is>
          <t>КРИТИЧНЫЙ</t>
        </is>
      </c>
      <c r="D6" s="9" t="inlineStr">
        <is>
          <t>Аудит хранилища</t>
        </is>
      </c>
    </row>
    <row r="7" ht="28" customHeight="1">
      <c r="A7" s="8" t="n">
        <v>4</v>
      </c>
      <c r="B7" s="38" t="inlineStr">
        <is>
          <t>Вся статистика с одного клиента (98,9% примерок — MalinaBonita)</t>
        </is>
      </c>
      <c r="C7" s="39" t="inlineStr">
        <is>
          <t>КРИТИЧНЫЙ</t>
        </is>
      </c>
      <c r="D7" s="9" t="inlineStr">
        <is>
          <t>Перепроверить после 2-3 клиентов</t>
        </is>
      </c>
    </row>
    <row r="8" ht="28" customHeight="1">
      <c r="A8" s="8" t="n">
        <v>5</v>
      </c>
      <c r="B8" s="38" t="inlineStr">
        <is>
          <t>Конверсия лид→интеграция 15% — чистое допущение, не проверено на практике</t>
        </is>
      </c>
      <c r="C8" s="40" t="inlineStr">
        <is>
          <t>ВЫСОКИЙ</t>
        </is>
      </c>
      <c r="D8" s="9" t="inlineStr">
        <is>
          <t>Замерить на первых 20 касаниях</t>
        </is>
      </c>
    </row>
    <row r="9" ht="28" customHeight="1">
      <c r="A9" s="8" t="n">
        <v>6</v>
      </c>
      <c r="B9" s="38" t="inlineStr">
        <is>
          <t>300 примерок/мес на клиента — ориентир по одному лучшему клиенту</t>
        </is>
      </c>
      <c r="C9" s="40" t="inlineStr">
        <is>
          <t>ВЫСОКИЙ</t>
        </is>
      </c>
      <c r="D9" s="9" t="inlineStr">
        <is>
          <t>Заложить сценарий 100/мес</t>
        </is>
      </c>
    </row>
    <row r="10" ht="28" customHeight="1">
      <c r="A10" s="8" t="n">
        <v>7</v>
      </c>
      <c r="B10" s="38" t="inlineStr">
        <is>
          <t>Диск сервера занят на 84% (47 ГБ свободно)</t>
        </is>
      </c>
      <c r="C10" s="40" t="inlineStr">
        <is>
          <t>ВЫСОКИЙ</t>
        </is>
      </c>
      <c r="D10" s="9" t="inlineStr">
        <is>
          <t>Расширить до продажи пакетов</t>
        </is>
      </c>
    </row>
    <row r="11" ht="28" customHeight="1">
      <c r="A11" s="8" t="n">
        <v>8</v>
      </c>
      <c r="B11" s="38" t="inlineStr">
        <is>
          <t>Валютная позиция: выручка в ₽, себестоимость в $</t>
        </is>
      </c>
      <c r="C11" s="40" t="inlineStr">
        <is>
          <t>ВЫСОКИЙ</t>
        </is>
      </c>
      <c r="D11" s="9" t="inlineStr">
        <is>
          <t>Индексировать прайс к курсу</t>
        </is>
      </c>
    </row>
    <row r="12" ht="28" customHeight="1">
      <c r="A12" s="8" t="n">
        <v>9</v>
      </c>
      <c r="B12" s="38" t="inlineStr">
        <is>
          <t>Удвоение цены AI обнуляет маржу (ценовой пол ~14,5 ₽)</t>
        </is>
      </c>
      <c r="C12" s="40" t="inlineStr">
        <is>
          <t>ВЫСОКИЙ</t>
        </is>
      </c>
      <c r="D12" s="9" t="inlineStr">
        <is>
          <t>Право пересмотра цены в оферте</t>
        </is>
      </c>
    </row>
    <row r="13" ht="28" customHeight="1">
      <c r="A13" s="8" t="n">
        <v>10</v>
      </c>
      <c r="B13" s="38" t="inlineStr">
        <is>
          <t>Setup fee 30к делает сделку вдвое дороже для мелкого клиента</t>
        </is>
      </c>
      <c r="C13" s="41" t="inlineStr">
        <is>
          <t>СРЕДНИЙ</t>
        </is>
      </c>
      <c r="D13" s="9" t="inlineStr">
        <is>
          <t>Ступенчатый setup 30/20/0</t>
        </is>
      </c>
    </row>
    <row r="14" ht="28" customHeight="1">
      <c r="A14" s="8" t="n">
        <v>11</v>
      </c>
      <c r="B14" s="38" t="inlineStr">
        <is>
          <t>Пакеты без срока годности = вечное обязательство</t>
        </is>
      </c>
      <c r="C14" s="41" t="inlineStr">
        <is>
          <t>СРЕДНИЙ</t>
        </is>
      </c>
      <c r="D14" s="9" t="inlineStr">
        <is>
          <t>Срок 12 мес</t>
        </is>
      </c>
    </row>
    <row r="15" ht="28" customHeight="1">
      <c r="A15" s="8" t="n">
        <v>12</v>
      </c>
      <c r="B15" s="38" t="inlineStr">
        <is>
          <t>Порог НДС на УСН снижается — съест 5-7 п.п. маржи</t>
        </is>
      </c>
      <c r="C15" s="41" t="inlineStr">
        <is>
          <t>СРЕДНИЙ</t>
        </is>
      </c>
      <c r="D15" s="9" t="inlineStr">
        <is>
          <t>Проверить с бухгалтером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2026-09-09T11:29:43Z</dcterms:created>
  <dcterms:modified xmlns:dcterms="http://purl.org/dc/terms/" xmlns:xsi="http://www.w3.org/2001/XMLSchema-instance" xsi:type="dcterms:W3CDTF">2026-09-09T11:29:43Z</dcterms:modified>
</cp:coreProperties>
</file>